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Verification_Gate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5" fontId="2" fillId="0" borderId="0" pivotButton="0" quotePrefix="0" xfId="0"/>
    <xf numFmtId="0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n">
        <v/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n">
        <v/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n">
        <v/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n">
        <v/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n">
        <v/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n">
        <v/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n">
        <v/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n">
        <v/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n">
        <v/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n">
        <v/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n">
        <v/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n">
        <v/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n">
        <v/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n">
        <v/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n">
        <v/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n">
        <v/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n">
        <v/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n">
        <v/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n">
        <v/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n">
        <v/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n">
        <v/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n">
        <v/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n">
        <v/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n">
        <v/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n">
        <v/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n">
        <v/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n">
        <v/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n">
        <v/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n">
        <v/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n">
        <v/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n">
        <v/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n">
        <v/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n">
        <v/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n">
        <v/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n">
        <v/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n">
        <v/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n">
        <v/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n">
        <v/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n">
        <v/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n">
        <v/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n">
        <v/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n">
        <v/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n">
        <v/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n">
        <v/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n">
        <v/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n">
        <v/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n">
        <v/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n">
        <v/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n">
        <v/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n">
        <v/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n">
        <v/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n">
        <v/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n">
        <v/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n">
        <v/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n">
        <v/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n">
        <v/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n">
        <v/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n">
        <v/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n">
        <v/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n">
        <v/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n">
        <v/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n">
        <v/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n">
        <v/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n">
        <v/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n">
        <v/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n">
        <v/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n">
        <v/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n">
        <v/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n">
        <v/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n">
        <v/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n">
        <v/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n">
        <v/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n">
        <v/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n">
        <v/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n">
        <v/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n">
        <v/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n">
        <v/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n">
        <v/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n">
        <v/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n">
        <v/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n">
        <v/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n">
        <v/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n">
        <v/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n">
        <v/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n">
        <v/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n">
        <v/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n">
        <v/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n">
        <v/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n">
        <v/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n">
        <v/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n">
        <v/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n">
        <v/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n">
        <v/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n">
        <v/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n">
        <v/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n">
        <v/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n">
        <v/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n">
        <v/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n">
        <v/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n">
        <v/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n">
        <v/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n">
        <v/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n">
        <v/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n">
        <v/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n">
        <v/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n">
        <v/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n">
        <v/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n">
        <v/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n">
        <v/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n">
        <v/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n">
        <v/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n">
        <v/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n">
        <v/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n">
        <v/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n">
        <v/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n">
        <v/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n">
        <v/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n">
        <v/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n">
        <v/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n">
        <v/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n">
        <v/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n">
        <v/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n">
        <v/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n">
        <v/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n">
        <v/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n">
        <v/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n">
        <v/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n">
        <v/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n">
        <v/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n">
        <v/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n">
        <v/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n">
        <v/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n">
        <v/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n">
        <v/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n">
        <v/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n">
        <v/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n">
        <v/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n">
        <v/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n">
        <v/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n">
        <v/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n">
        <v/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n">
        <v/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n">
        <v/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n">
        <v/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n">
        <v/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n">
        <v/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n">
        <v/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n">
        <v/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n">
        <v/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n">
        <v/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n">
        <v/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n">
        <v/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n">
        <v/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n">
        <v/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n">
        <v/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n">
        <v/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n">
        <v/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n">
        <v/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n">
        <v/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n">
        <v/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n">
        <v/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n">
        <v/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n">
        <v/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n">
        <v/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n">
        <v/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n">
        <v/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n">
        <v/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n">
        <v/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n">
        <v/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n">
        <v/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n">
        <v/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n">
        <v/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n">
        <v/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n">
        <v/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n">
        <v/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n">
        <v/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n">
        <v/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n">
        <v/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n">
        <v/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n">
        <v/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n">
        <v/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n">
        <v/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n">
        <v/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n">
        <v/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n">
        <v/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n">
        <v/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n">
        <v/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n">
        <v/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n">
        <v/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n">
        <v/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n">
        <v/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n">
        <v/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n">
        <v/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n">
        <v/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n">
        <v/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n">
        <v/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n">
        <v/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n">
        <v/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n">
        <v/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n">
        <v/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n">
        <v/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n">
        <v/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n">
        <v/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n">
        <v/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n">
        <v/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n">
        <v/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n">
        <v/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n">
        <v/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n">
        <v/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n">
        <v/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n">
        <v/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n">
        <v/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n">
        <v/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n">
        <v/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n">
        <v/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n">
        <v/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n">
        <v/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n">
        <v/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n">
        <v/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n">
        <v/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n">
        <v/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n">
        <v/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n">
        <v/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n">
        <v/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n">
        <v/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n">
        <v/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n">
        <v/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n">
        <v/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n">
        <v/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n">
        <v/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n">
        <v/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n">
        <v/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n">
        <v/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n">
        <v/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n">
        <v/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n">
        <v/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n">
        <v/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n">
        <v/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n">
        <v/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n">
        <v/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n">
        <v/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n">
        <v/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n">
        <v/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n">
        <v/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n">
        <v/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n">
        <v/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n">
        <v/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n">
        <v/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n">
        <v/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n">
        <v/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n">
        <v/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n">
        <v/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n">
        <v/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n">
        <v/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n">
        <v/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n">
        <v/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n">
        <v/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n">
        <v/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n">
        <v/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n">
        <v/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n">
        <v/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n">
        <v/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n">
        <v/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n">
        <v/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n">
        <v/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n">
        <v/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n">
        <v/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n">
        <v/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n">
        <v/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n">
        <v/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n">
        <v/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n">
        <v/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n">
        <v/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n">
        <v/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n">
        <v/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n">
        <v/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n">
        <v/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n">
        <v/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n">
        <v/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n">
        <v/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n">
        <v/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n">
        <v/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n">
        <v/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n">
        <v/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n">
        <v/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n">
        <v/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n">
        <v/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n">
        <v/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n">
        <v/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n">
        <v/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n">
        <v/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n">
        <v/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n">
        <v/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n">
        <v/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n">
        <v/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n">
        <v/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n">
        <v/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n">
        <v/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n">
        <v/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n">
        <v/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n">
        <v/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n">
        <v/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n">
        <v/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n">
        <v/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n">
        <v/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n">
        <v/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n">
        <v/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n">
        <v/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n">
        <v/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25" customWidth="1" min="15" max="15"/>
    <col width="26" customWidth="1" min="16" max="16"/>
    <col width="24" customWidth="1" min="17" max="17"/>
    <col width="18" customWidth="1" min="18" max="18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Duplicate_OrderID_Check</t>
        </is>
      </c>
      <c r="P1" s="1" t="inlineStr">
        <is>
          <t>Duplicate_Tracking_Check</t>
        </is>
      </c>
      <c r="Q1" s="1" t="inlineStr">
        <is>
          <t>CouponCode_Was_Missing</t>
        </is>
      </c>
      <c r="R1" s="1" t="inlineStr">
        <is>
          <t>Date_Valid_Check</t>
        </is>
      </c>
    </row>
    <row r="2">
      <c r="A2" s="4">
        <f>TRIM(Raw_Data!A2)</f>
        <v/>
      </c>
      <c r="B2" s="5">
        <f>Raw_Data!B2</f>
        <v/>
      </c>
      <c r="C2" s="4">
        <f>TRIM(Raw_Data!C2)</f>
        <v/>
      </c>
      <c r="D2" s="4">
        <f>PROPER(TRIM(Raw_Data!D2))</f>
        <v/>
      </c>
      <c r="E2" s="4">
        <f>Raw_Data!E2</f>
        <v/>
      </c>
      <c r="F2" s="6">
        <f>ROUND(Raw_Data!F2,2)</f>
        <v/>
      </c>
      <c r="G2" s="4">
        <f>PROPER(TRIM(Raw_Data!G2))</f>
        <v/>
      </c>
      <c r="H2" s="4">
        <f>PROPER(TRIM(Raw_Data!H2))</f>
        <v/>
      </c>
      <c r="I2" s="4">
        <f>PROPER(TRIM(Raw_Data!I2))</f>
        <v/>
      </c>
      <c r="J2" s="4">
        <f>TRIM(Raw_Data!J2)</f>
        <v/>
      </c>
      <c r="K2" s="4">
        <f>Raw_Data!K2</f>
        <v/>
      </c>
      <c r="L2" s="4">
        <f>IF(TRIM(Raw_Data!L2)="","No Coupon",TRIM(Raw_Data!L2))</f>
        <v/>
      </c>
      <c r="M2" s="4">
        <f>PROPER(TRIM(Raw_Data!M2))</f>
        <v/>
      </c>
      <c r="N2" s="6">
        <f>ROUND(Raw_Data!N2,2)</f>
        <v/>
      </c>
      <c r="O2" s="7">
        <f>IF(COUNTIF($A$2:$A$1201,A2)&gt;1,"DUPLICATE","Unique")</f>
        <v/>
      </c>
      <c r="P2" s="7">
        <f>IF(COUNTIF($J$2:$J$1201,J2)&gt;1,"DUPLICATE","Unique")</f>
        <v/>
      </c>
      <c r="Q2" s="4">
        <f>IF(TRIM(Raw_Data!L2)="","Yes","No")</f>
        <v/>
      </c>
      <c r="R2" s="4">
        <f>IF(ISNUMBER(B2),"Valid","INVALID")</f>
        <v/>
      </c>
    </row>
    <row r="3">
      <c r="A3" s="4">
        <f>TRIM(Raw_Data!A3)</f>
        <v/>
      </c>
      <c r="B3" s="5">
        <f>Raw_Data!B3</f>
        <v/>
      </c>
      <c r="C3" s="4">
        <f>TRIM(Raw_Data!C3)</f>
        <v/>
      </c>
      <c r="D3" s="4">
        <f>PROPER(TRIM(Raw_Data!D3))</f>
        <v/>
      </c>
      <c r="E3" s="4">
        <f>Raw_Data!E3</f>
        <v/>
      </c>
      <c r="F3" s="6">
        <f>ROUND(Raw_Data!F3,2)</f>
        <v/>
      </c>
      <c r="G3" s="4">
        <f>PROPER(TRIM(Raw_Data!G3))</f>
        <v/>
      </c>
      <c r="H3" s="4">
        <f>PROPER(TRIM(Raw_Data!H3))</f>
        <v/>
      </c>
      <c r="I3" s="4">
        <f>PROPER(TRIM(Raw_Data!I3))</f>
        <v/>
      </c>
      <c r="J3" s="4">
        <f>TRIM(Raw_Data!J3)</f>
        <v/>
      </c>
      <c r="K3" s="4">
        <f>Raw_Data!K3</f>
        <v/>
      </c>
      <c r="L3" s="4">
        <f>IF(TRIM(Raw_Data!L3)="","No Coupon",TRIM(Raw_Data!L3))</f>
        <v/>
      </c>
      <c r="M3" s="4">
        <f>PROPER(TRIM(Raw_Data!M3))</f>
        <v/>
      </c>
      <c r="N3" s="6">
        <f>ROUND(Raw_Data!N3,2)</f>
        <v/>
      </c>
      <c r="O3" s="7">
        <f>IF(COUNTIF($A$2:$A$1201,A3)&gt;1,"DUPLICATE","Unique")</f>
        <v/>
      </c>
      <c r="P3" s="7">
        <f>IF(COUNTIF($J$2:$J$1201,J3)&gt;1,"DUPLICATE","Unique")</f>
        <v/>
      </c>
      <c r="Q3" s="4">
        <f>IF(TRIM(Raw_Data!L3)="","Yes","No")</f>
        <v/>
      </c>
      <c r="R3" s="4">
        <f>IF(ISNUMBER(B3),"Valid","INVALID")</f>
        <v/>
      </c>
    </row>
    <row r="4">
      <c r="A4" s="4">
        <f>TRIM(Raw_Data!A4)</f>
        <v/>
      </c>
      <c r="B4" s="5">
        <f>Raw_Data!B4</f>
        <v/>
      </c>
      <c r="C4" s="4">
        <f>TRIM(Raw_Data!C4)</f>
        <v/>
      </c>
      <c r="D4" s="4">
        <f>PROPER(TRIM(Raw_Data!D4))</f>
        <v/>
      </c>
      <c r="E4" s="4">
        <f>Raw_Data!E4</f>
        <v/>
      </c>
      <c r="F4" s="6">
        <f>ROUND(Raw_Data!F4,2)</f>
        <v/>
      </c>
      <c r="G4" s="4">
        <f>PROPER(TRIM(Raw_Data!G4))</f>
        <v/>
      </c>
      <c r="H4" s="4">
        <f>PROPER(TRIM(Raw_Data!H4))</f>
        <v/>
      </c>
      <c r="I4" s="4">
        <f>PROPER(TRIM(Raw_Data!I4))</f>
        <v/>
      </c>
      <c r="J4" s="4">
        <f>TRIM(Raw_Data!J4)</f>
        <v/>
      </c>
      <c r="K4" s="4">
        <f>Raw_Data!K4</f>
        <v/>
      </c>
      <c r="L4" s="4">
        <f>IF(TRIM(Raw_Data!L4)="","No Coupon",TRIM(Raw_Data!L4))</f>
        <v/>
      </c>
      <c r="M4" s="4">
        <f>PROPER(TRIM(Raw_Data!M4))</f>
        <v/>
      </c>
      <c r="N4" s="6">
        <f>ROUND(Raw_Data!N4,2)</f>
        <v/>
      </c>
      <c r="O4" s="7">
        <f>IF(COUNTIF($A$2:$A$1201,A4)&gt;1,"DUPLICATE","Unique")</f>
        <v/>
      </c>
      <c r="P4" s="7">
        <f>IF(COUNTIF($J$2:$J$1201,J4)&gt;1,"DUPLICATE","Unique")</f>
        <v/>
      </c>
      <c r="Q4" s="4">
        <f>IF(TRIM(Raw_Data!L4)="","Yes","No")</f>
        <v/>
      </c>
      <c r="R4" s="4">
        <f>IF(ISNUMBER(B4),"Valid","INVALID")</f>
        <v/>
      </c>
    </row>
    <row r="5">
      <c r="A5" s="4">
        <f>TRIM(Raw_Data!A5)</f>
        <v/>
      </c>
      <c r="B5" s="5">
        <f>Raw_Data!B5</f>
        <v/>
      </c>
      <c r="C5" s="4">
        <f>TRIM(Raw_Data!C5)</f>
        <v/>
      </c>
      <c r="D5" s="4">
        <f>PROPER(TRIM(Raw_Data!D5))</f>
        <v/>
      </c>
      <c r="E5" s="4">
        <f>Raw_Data!E5</f>
        <v/>
      </c>
      <c r="F5" s="6">
        <f>ROUND(Raw_Data!F5,2)</f>
        <v/>
      </c>
      <c r="G5" s="4">
        <f>PROPER(TRIM(Raw_Data!G5))</f>
        <v/>
      </c>
      <c r="H5" s="4">
        <f>PROPER(TRIM(Raw_Data!H5))</f>
        <v/>
      </c>
      <c r="I5" s="4">
        <f>PROPER(TRIM(Raw_Data!I5))</f>
        <v/>
      </c>
      <c r="J5" s="4">
        <f>TRIM(Raw_Data!J5)</f>
        <v/>
      </c>
      <c r="K5" s="4">
        <f>Raw_Data!K5</f>
        <v/>
      </c>
      <c r="L5" s="4">
        <f>IF(TRIM(Raw_Data!L5)="","No Coupon",TRIM(Raw_Data!L5))</f>
        <v/>
      </c>
      <c r="M5" s="4">
        <f>PROPER(TRIM(Raw_Data!M5))</f>
        <v/>
      </c>
      <c r="N5" s="6">
        <f>ROUND(Raw_Data!N5,2)</f>
        <v/>
      </c>
      <c r="O5" s="7">
        <f>IF(COUNTIF($A$2:$A$1201,A5)&gt;1,"DUPLICATE","Unique")</f>
        <v/>
      </c>
      <c r="P5" s="7">
        <f>IF(COUNTIF($J$2:$J$1201,J5)&gt;1,"DUPLICATE","Unique")</f>
        <v/>
      </c>
      <c r="Q5" s="4">
        <f>IF(TRIM(Raw_Data!L5)="","Yes","No")</f>
        <v/>
      </c>
      <c r="R5" s="4">
        <f>IF(ISNUMBER(B5),"Valid","INVALID")</f>
        <v/>
      </c>
    </row>
    <row r="6">
      <c r="A6" s="4">
        <f>TRIM(Raw_Data!A6)</f>
        <v/>
      </c>
      <c r="B6" s="5">
        <f>Raw_Data!B6</f>
        <v/>
      </c>
      <c r="C6" s="4">
        <f>TRIM(Raw_Data!C6)</f>
        <v/>
      </c>
      <c r="D6" s="4">
        <f>PROPER(TRIM(Raw_Data!D6))</f>
        <v/>
      </c>
      <c r="E6" s="4">
        <f>Raw_Data!E6</f>
        <v/>
      </c>
      <c r="F6" s="6">
        <f>ROUND(Raw_Data!F6,2)</f>
        <v/>
      </c>
      <c r="G6" s="4">
        <f>PROPER(TRIM(Raw_Data!G6))</f>
        <v/>
      </c>
      <c r="H6" s="4">
        <f>PROPER(TRIM(Raw_Data!H6))</f>
        <v/>
      </c>
      <c r="I6" s="4">
        <f>PROPER(TRIM(Raw_Data!I6))</f>
        <v/>
      </c>
      <c r="J6" s="4">
        <f>TRIM(Raw_Data!J6)</f>
        <v/>
      </c>
      <c r="K6" s="4">
        <f>Raw_Data!K6</f>
        <v/>
      </c>
      <c r="L6" s="4">
        <f>IF(TRIM(Raw_Data!L6)="","No Coupon",TRIM(Raw_Data!L6))</f>
        <v/>
      </c>
      <c r="M6" s="4">
        <f>PROPER(TRIM(Raw_Data!M6))</f>
        <v/>
      </c>
      <c r="N6" s="6">
        <f>ROUND(Raw_Data!N6,2)</f>
        <v/>
      </c>
      <c r="O6" s="7">
        <f>IF(COUNTIF($A$2:$A$1201,A6)&gt;1,"DUPLICATE","Unique")</f>
        <v/>
      </c>
      <c r="P6" s="7">
        <f>IF(COUNTIF($J$2:$J$1201,J6)&gt;1,"DUPLICATE","Unique")</f>
        <v/>
      </c>
      <c r="Q6" s="4">
        <f>IF(TRIM(Raw_Data!L6)="","Yes","No")</f>
        <v/>
      </c>
      <c r="R6" s="4">
        <f>IF(ISNUMBER(B6),"Valid","INVALID")</f>
        <v/>
      </c>
    </row>
    <row r="7">
      <c r="A7" s="4">
        <f>TRIM(Raw_Data!A7)</f>
        <v/>
      </c>
      <c r="B7" s="5">
        <f>Raw_Data!B7</f>
        <v/>
      </c>
      <c r="C7" s="4">
        <f>TRIM(Raw_Data!C7)</f>
        <v/>
      </c>
      <c r="D7" s="4">
        <f>PROPER(TRIM(Raw_Data!D7))</f>
        <v/>
      </c>
      <c r="E7" s="4">
        <f>Raw_Data!E7</f>
        <v/>
      </c>
      <c r="F7" s="6">
        <f>ROUND(Raw_Data!F7,2)</f>
        <v/>
      </c>
      <c r="G7" s="4">
        <f>PROPER(TRIM(Raw_Data!G7))</f>
        <v/>
      </c>
      <c r="H7" s="4">
        <f>PROPER(TRIM(Raw_Data!H7))</f>
        <v/>
      </c>
      <c r="I7" s="4">
        <f>PROPER(TRIM(Raw_Data!I7))</f>
        <v/>
      </c>
      <c r="J7" s="4">
        <f>TRIM(Raw_Data!J7)</f>
        <v/>
      </c>
      <c r="K7" s="4">
        <f>Raw_Data!K7</f>
        <v/>
      </c>
      <c r="L7" s="4">
        <f>IF(TRIM(Raw_Data!L7)="","No Coupon",TRIM(Raw_Data!L7))</f>
        <v/>
      </c>
      <c r="M7" s="4">
        <f>PROPER(TRIM(Raw_Data!M7))</f>
        <v/>
      </c>
      <c r="N7" s="6">
        <f>ROUND(Raw_Data!N7,2)</f>
        <v/>
      </c>
      <c r="O7" s="7">
        <f>IF(COUNTIF($A$2:$A$1201,A7)&gt;1,"DUPLICATE","Unique")</f>
        <v/>
      </c>
      <c r="P7" s="7">
        <f>IF(COUNTIF($J$2:$J$1201,J7)&gt;1,"DUPLICATE","Unique")</f>
        <v/>
      </c>
      <c r="Q7" s="4">
        <f>IF(TRIM(Raw_Data!L7)="","Yes","No")</f>
        <v/>
      </c>
      <c r="R7" s="4">
        <f>IF(ISNUMBER(B7),"Valid","INVALID")</f>
        <v/>
      </c>
    </row>
    <row r="8">
      <c r="A8" s="4">
        <f>TRIM(Raw_Data!A8)</f>
        <v/>
      </c>
      <c r="B8" s="5">
        <f>Raw_Data!B8</f>
        <v/>
      </c>
      <c r="C8" s="4">
        <f>TRIM(Raw_Data!C8)</f>
        <v/>
      </c>
      <c r="D8" s="4">
        <f>PROPER(TRIM(Raw_Data!D8))</f>
        <v/>
      </c>
      <c r="E8" s="4">
        <f>Raw_Data!E8</f>
        <v/>
      </c>
      <c r="F8" s="6">
        <f>ROUND(Raw_Data!F8,2)</f>
        <v/>
      </c>
      <c r="G8" s="4">
        <f>PROPER(TRIM(Raw_Data!G8))</f>
        <v/>
      </c>
      <c r="H8" s="4">
        <f>PROPER(TRIM(Raw_Data!H8))</f>
        <v/>
      </c>
      <c r="I8" s="4">
        <f>PROPER(TRIM(Raw_Data!I8))</f>
        <v/>
      </c>
      <c r="J8" s="4">
        <f>TRIM(Raw_Data!J8)</f>
        <v/>
      </c>
      <c r="K8" s="4">
        <f>Raw_Data!K8</f>
        <v/>
      </c>
      <c r="L8" s="4">
        <f>IF(TRIM(Raw_Data!L8)="","No Coupon",TRIM(Raw_Data!L8))</f>
        <v/>
      </c>
      <c r="M8" s="4">
        <f>PROPER(TRIM(Raw_Data!M8))</f>
        <v/>
      </c>
      <c r="N8" s="6">
        <f>ROUND(Raw_Data!N8,2)</f>
        <v/>
      </c>
      <c r="O8" s="7">
        <f>IF(COUNTIF($A$2:$A$1201,A8)&gt;1,"DUPLICATE","Unique")</f>
        <v/>
      </c>
      <c r="P8" s="7">
        <f>IF(COUNTIF($J$2:$J$1201,J8)&gt;1,"DUPLICATE","Unique")</f>
        <v/>
      </c>
      <c r="Q8" s="4">
        <f>IF(TRIM(Raw_Data!L8)="","Yes","No")</f>
        <v/>
      </c>
      <c r="R8" s="4">
        <f>IF(ISNUMBER(B8),"Valid","INVALID")</f>
        <v/>
      </c>
    </row>
    <row r="9">
      <c r="A9" s="4">
        <f>TRIM(Raw_Data!A9)</f>
        <v/>
      </c>
      <c r="B9" s="5">
        <f>Raw_Data!B9</f>
        <v/>
      </c>
      <c r="C9" s="4">
        <f>TRIM(Raw_Data!C9)</f>
        <v/>
      </c>
      <c r="D9" s="4">
        <f>PROPER(TRIM(Raw_Data!D9))</f>
        <v/>
      </c>
      <c r="E9" s="4">
        <f>Raw_Data!E9</f>
        <v/>
      </c>
      <c r="F9" s="6">
        <f>ROUND(Raw_Data!F9,2)</f>
        <v/>
      </c>
      <c r="G9" s="4">
        <f>PROPER(TRIM(Raw_Data!G9))</f>
        <v/>
      </c>
      <c r="H9" s="4">
        <f>PROPER(TRIM(Raw_Data!H9))</f>
        <v/>
      </c>
      <c r="I9" s="4">
        <f>PROPER(TRIM(Raw_Data!I9))</f>
        <v/>
      </c>
      <c r="J9" s="4">
        <f>TRIM(Raw_Data!J9)</f>
        <v/>
      </c>
      <c r="K9" s="4">
        <f>Raw_Data!K9</f>
        <v/>
      </c>
      <c r="L9" s="4">
        <f>IF(TRIM(Raw_Data!L9)="","No Coupon",TRIM(Raw_Data!L9))</f>
        <v/>
      </c>
      <c r="M9" s="4">
        <f>PROPER(TRIM(Raw_Data!M9))</f>
        <v/>
      </c>
      <c r="N9" s="6">
        <f>ROUND(Raw_Data!N9,2)</f>
        <v/>
      </c>
      <c r="O9" s="7">
        <f>IF(COUNTIF($A$2:$A$1201,A9)&gt;1,"DUPLICATE","Unique")</f>
        <v/>
      </c>
      <c r="P9" s="7">
        <f>IF(COUNTIF($J$2:$J$1201,J9)&gt;1,"DUPLICATE","Unique")</f>
        <v/>
      </c>
      <c r="Q9" s="4">
        <f>IF(TRIM(Raw_Data!L9)="","Yes","No")</f>
        <v/>
      </c>
      <c r="R9" s="4">
        <f>IF(ISNUMBER(B9),"Valid","INVALID")</f>
        <v/>
      </c>
    </row>
    <row r="10">
      <c r="A10" s="4">
        <f>TRIM(Raw_Data!A10)</f>
        <v/>
      </c>
      <c r="B10" s="5">
        <f>Raw_Data!B10</f>
        <v/>
      </c>
      <c r="C10" s="4">
        <f>TRIM(Raw_Data!C10)</f>
        <v/>
      </c>
      <c r="D10" s="4">
        <f>PROPER(TRIM(Raw_Data!D10))</f>
        <v/>
      </c>
      <c r="E10" s="4">
        <f>Raw_Data!E10</f>
        <v/>
      </c>
      <c r="F10" s="6">
        <f>ROUND(Raw_Data!F10,2)</f>
        <v/>
      </c>
      <c r="G10" s="4">
        <f>PROPER(TRIM(Raw_Data!G10))</f>
        <v/>
      </c>
      <c r="H10" s="4">
        <f>PROPER(TRIM(Raw_Data!H10))</f>
        <v/>
      </c>
      <c r="I10" s="4">
        <f>PROPER(TRIM(Raw_Data!I10))</f>
        <v/>
      </c>
      <c r="J10" s="4">
        <f>TRIM(Raw_Data!J10)</f>
        <v/>
      </c>
      <c r="K10" s="4">
        <f>Raw_Data!K10</f>
        <v/>
      </c>
      <c r="L10" s="4">
        <f>IF(TRIM(Raw_Data!L10)="","No Coupon",TRIM(Raw_Data!L10))</f>
        <v/>
      </c>
      <c r="M10" s="4">
        <f>PROPER(TRIM(Raw_Data!M10))</f>
        <v/>
      </c>
      <c r="N10" s="6">
        <f>ROUND(Raw_Data!N10,2)</f>
        <v/>
      </c>
      <c r="O10" s="7">
        <f>IF(COUNTIF($A$2:$A$1201,A10)&gt;1,"DUPLICATE","Unique")</f>
        <v/>
      </c>
      <c r="P10" s="7">
        <f>IF(COUNTIF($J$2:$J$1201,J10)&gt;1,"DUPLICATE","Unique")</f>
        <v/>
      </c>
      <c r="Q10" s="4">
        <f>IF(TRIM(Raw_Data!L10)="","Yes","No")</f>
        <v/>
      </c>
      <c r="R10" s="4">
        <f>IF(ISNUMBER(B10),"Valid","INVALID")</f>
        <v/>
      </c>
    </row>
    <row r="11">
      <c r="A11" s="4">
        <f>TRIM(Raw_Data!A11)</f>
        <v/>
      </c>
      <c r="B11" s="5">
        <f>Raw_Data!B11</f>
        <v/>
      </c>
      <c r="C11" s="4">
        <f>TRIM(Raw_Data!C11)</f>
        <v/>
      </c>
      <c r="D11" s="4">
        <f>PROPER(TRIM(Raw_Data!D11))</f>
        <v/>
      </c>
      <c r="E11" s="4">
        <f>Raw_Data!E11</f>
        <v/>
      </c>
      <c r="F11" s="6">
        <f>ROUND(Raw_Data!F11,2)</f>
        <v/>
      </c>
      <c r="G11" s="4">
        <f>PROPER(TRIM(Raw_Data!G11))</f>
        <v/>
      </c>
      <c r="H11" s="4">
        <f>PROPER(TRIM(Raw_Data!H11))</f>
        <v/>
      </c>
      <c r="I11" s="4">
        <f>PROPER(TRIM(Raw_Data!I11))</f>
        <v/>
      </c>
      <c r="J11" s="4">
        <f>TRIM(Raw_Data!J11)</f>
        <v/>
      </c>
      <c r="K11" s="4">
        <f>Raw_Data!K11</f>
        <v/>
      </c>
      <c r="L11" s="4">
        <f>IF(TRIM(Raw_Data!L11)="","No Coupon",TRIM(Raw_Data!L11))</f>
        <v/>
      </c>
      <c r="M11" s="4">
        <f>PROPER(TRIM(Raw_Data!M11))</f>
        <v/>
      </c>
      <c r="N11" s="6">
        <f>ROUND(Raw_Data!N11,2)</f>
        <v/>
      </c>
      <c r="O11" s="7">
        <f>IF(COUNTIF($A$2:$A$1201,A11)&gt;1,"DUPLICATE","Unique")</f>
        <v/>
      </c>
      <c r="P11" s="7">
        <f>IF(COUNTIF($J$2:$J$1201,J11)&gt;1,"DUPLICATE","Unique")</f>
        <v/>
      </c>
      <c r="Q11" s="4">
        <f>IF(TRIM(Raw_Data!L11)="","Yes","No")</f>
        <v/>
      </c>
      <c r="R11" s="4">
        <f>IF(ISNUMBER(B11),"Valid","INVALID")</f>
        <v/>
      </c>
    </row>
    <row r="12">
      <c r="A12" s="4">
        <f>TRIM(Raw_Data!A12)</f>
        <v/>
      </c>
      <c r="B12" s="5">
        <f>Raw_Data!B12</f>
        <v/>
      </c>
      <c r="C12" s="4">
        <f>TRIM(Raw_Data!C12)</f>
        <v/>
      </c>
      <c r="D12" s="4">
        <f>PROPER(TRIM(Raw_Data!D12))</f>
        <v/>
      </c>
      <c r="E12" s="4">
        <f>Raw_Data!E12</f>
        <v/>
      </c>
      <c r="F12" s="6">
        <f>ROUND(Raw_Data!F12,2)</f>
        <v/>
      </c>
      <c r="G12" s="4">
        <f>PROPER(TRIM(Raw_Data!G12))</f>
        <v/>
      </c>
      <c r="H12" s="4">
        <f>PROPER(TRIM(Raw_Data!H12))</f>
        <v/>
      </c>
      <c r="I12" s="4">
        <f>PROPER(TRIM(Raw_Data!I12))</f>
        <v/>
      </c>
      <c r="J12" s="4">
        <f>TRIM(Raw_Data!J12)</f>
        <v/>
      </c>
      <c r="K12" s="4">
        <f>Raw_Data!K12</f>
        <v/>
      </c>
      <c r="L12" s="4">
        <f>IF(TRIM(Raw_Data!L12)="","No Coupon",TRIM(Raw_Data!L12))</f>
        <v/>
      </c>
      <c r="M12" s="4">
        <f>PROPER(TRIM(Raw_Data!M12))</f>
        <v/>
      </c>
      <c r="N12" s="6">
        <f>ROUND(Raw_Data!N12,2)</f>
        <v/>
      </c>
      <c r="O12" s="7">
        <f>IF(COUNTIF($A$2:$A$1201,A12)&gt;1,"DUPLICATE","Unique")</f>
        <v/>
      </c>
      <c r="P12" s="7">
        <f>IF(COUNTIF($J$2:$J$1201,J12)&gt;1,"DUPLICATE","Unique")</f>
        <v/>
      </c>
      <c r="Q12" s="4">
        <f>IF(TRIM(Raw_Data!L12)="","Yes","No")</f>
        <v/>
      </c>
      <c r="R12" s="4">
        <f>IF(ISNUMBER(B12),"Valid","INVALID")</f>
        <v/>
      </c>
    </row>
    <row r="13">
      <c r="A13" s="4">
        <f>TRIM(Raw_Data!A13)</f>
        <v/>
      </c>
      <c r="B13" s="5">
        <f>Raw_Data!B13</f>
        <v/>
      </c>
      <c r="C13" s="4">
        <f>TRIM(Raw_Data!C13)</f>
        <v/>
      </c>
      <c r="D13" s="4">
        <f>PROPER(TRIM(Raw_Data!D13))</f>
        <v/>
      </c>
      <c r="E13" s="4">
        <f>Raw_Data!E13</f>
        <v/>
      </c>
      <c r="F13" s="6">
        <f>ROUND(Raw_Data!F13,2)</f>
        <v/>
      </c>
      <c r="G13" s="4">
        <f>PROPER(TRIM(Raw_Data!G13))</f>
        <v/>
      </c>
      <c r="H13" s="4">
        <f>PROPER(TRIM(Raw_Data!H13))</f>
        <v/>
      </c>
      <c r="I13" s="4">
        <f>PROPER(TRIM(Raw_Data!I13))</f>
        <v/>
      </c>
      <c r="J13" s="4">
        <f>TRIM(Raw_Data!J13)</f>
        <v/>
      </c>
      <c r="K13" s="4">
        <f>Raw_Data!K13</f>
        <v/>
      </c>
      <c r="L13" s="4">
        <f>IF(TRIM(Raw_Data!L13)="","No Coupon",TRIM(Raw_Data!L13))</f>
        <v/>
      </c>
      <c r="M13" s="4">
        <f>PROPER(TRIM(Raw_Data!M13))</f>
        <v/>
      </c>
      <c r="N13" s="6">
        <f>ROUND(Raw_Data!N13,2)</f>
        <v/>
      </c>
      <c r="O13" s="7">
        <f>IF(COUNTIF($A$2:$A$1201,A13)&gt;1,"DUPLICATE","Unique")</f>
        <v/>
      </c>
      <c r="P13" s="7">
        <f>IF(COUNTIF($J$2:$J$1201,J13)&gt;1,"DUPLICATE","Unique")</f>
        <v/>
      </c>
      <c r="Q13" s="4">
        <f>IF(TRIM(Raw_Data!L13)="","Yes","No")</f>
        <v/>
      </c>
      <c r="R13" s="4">
        <f>IF(ISNUMBER(B13),"Valid","INVALID")</f>
        <v/>
      </c>
    </row>
    <row r="14">
      <c r="A14" s="4">
        <f>TRIM(Raw_Data!A14)</f>
        <v/>
      </c>
      <c r="B14" s="5">
        <f>Raw_Data!B14</f>
        <v/>
      </c>
      <c r="C14" s="4">
        <f>TRIM(Raw_Data!C14)</f>
        <v/>
      </c>
      <c r="D14" s="4">
        <f>PROPER(TRIM(Raw_Data!D14))</f>
        <v/>
      </c>
      <c r="E14" s="4">
        <f>Raw_Data!E14</f>
        <v/>
      </c>
      <c r="F14" s="6">
        <f>ROUND(Raw_Data!F14,2)</f>
        <v/>
      </c>
      <c r="G14" s="4">
        <f>PROPER(TRIM(Raw_Data!G14))</f>
        <v/>
      </c>
      <c r="H14" s="4">
        <f>PROPER(TRIM(Raw_Data!H14))</f>
        <v/>
      </c>
      <c r="I14" s="4">
        <f>PROPER(TRIM(Raw_Data!I14))</f>
        <v/>
      </c>
      <c r="J14" s="4">
        <f>TRIM(Raw_Data!J14)</f>
        <v/>
      </c>
      <c r="K14" s="4">
        <f>Raw_Data!K14</f>
        <v/>
      </c>
      <c r="L14" s="4">
        <f>IF(TRIM(Raw_Data!L14)="","No Coupon",TRIM(Raw_Data!L14))</f>
        <v/>
      </c>
      <c r="M14" s="4">
        <f>PROPER(TRIM(Raw_Data!M14))</f>
        <v/>
      </c>
      <c r="N14" s="6">
        <f>ROUND(Raw_Data!N14,2)</f>
        <v/>
      </c>
      <c r="O14" s="7">
        <f>IF(COUNTIF($A$2:$A$1201,A14)&gt;1,"DUPLICATE","Unique")</f>
        <v/>
      </c>
      <c r="P14" s="7">
        <f>IF(COUNTIF($J$2:$J$1201,J14)&gt;1,"DUPLICATE","Unique")</f>
        <v/>
      </c>
      <c r="Q14" s="4">
        <f>IF(TRIM(Raw_Data!L14)="","Yes","No")</f>
        <v/>
      </c>
      <c r="R14" s="4">
        <f>IF(ISNUMBER(B14),"Valid","INVALID")</f>
        <v/>
      </c>
    </row>
    <row r="15">
      <c r="A15" s="4">
        <f>TRIM(Raw_Data!A15)</f>
        <v/>
      </c>
      <c r="B15" s="5">
        <f>Raw_Data!B15</f>
        <v/>
      </c>
      <c r="C15" s="4">
        <f>TRIM(Raw_Data!C15)</f>
        <v/>
      </c>
      <c r="D15" s="4">
        <f>PROPER(TRIM(Raw_Data!D15))</f>
        <v/>
      </c>
      <c r="E15" s="4">
        <f>Raw_Data!E15</f>
        <v/>
      </c>
      <c r="F15" s="6">
        <f>ROUND(Raw_Data!F15,2)</f>
        <v/>
      </c>
      <c r="G15" s="4">
        <f>PROPER(TRIM(Raw_Data!G15))</f>
        <v/>
      </c>
      <c r="H15" s="4">
        <f>PROPER(TRIM(Raw_Data!H15))</f>
        <v/>
      </c>
      <c r="I15" s="4">
        <f>PROPER(TRIM(Raw_Data!I15))</f>
        <v/>
      </c>
      <c r="J15" s="4">
        <f>TRIM(Raw_Data!J15)</f>
        <v/>
      </c>
      <c r="K15" s="4">
        <f>Raw_Data!K15</f>
        <v/>
      </c>
      <c r="L15" s="4">
        <f>IF(TRIM(Raw_Data!L15)="","No Coupon",TRIM(Raw_Data!L15))</f>
        <v/>
      </c>
      <c r="M15" s="4">
        <f>PROPER(TRIM(Raw_Data!M15))</f>
        <v/>
      </c>
      <c r="N15" s="6">
        <f>ROUND(Raw_Data!N15,2)</f>
        <v/>
      </c>
      <c r="O15" s="7">
        <f>IF(COUNTIF($A$2:$A$1201,A15)&gt;1,"DUPLICATE","Unique")</f>
        <v/>
      </c>
      <c r="P15" s="7">
        <f>IF(COUNTIF($J$2:$J$1201,J15)&gt;1,"DUPLICATE","Unique")</f>
        <v/>
      </c>
      <c r="Q15" s="4">
        <f>IF(TRIM(Raw_Data!L15)="","Yes","No")</f>
        <v/>
      </c>
      <c r="R15" s="4">
        <f>IF(ISNUMBER(B15),"Valid","INVALID")</f>
        <v/>
      </c>
    </row>
    <row r="16">
      <c r="A16" s="4">
        <f>TRIM(Raw_Data!A16)</f>
        <v/>
      </c>
      <c r="B16" s="5">
        <f>Raw_Data!B16</f>
        <v/>
      </c>
      <c r="C16" s="4">
        <f>TRIM(Raw_Data!C16)</f>
        <v/>
      </c>
      <c r="D16" s="4">
        <f>PROPER(TRIM(Raw_Data!D16))</f>
        <v/>
      </c>
      <c r="E16" s="4">
        <f>Raw_Data!E16</f>
        <v/>
      </c>
      <c r="F16" s="6">
        <f>ROUND(Raw_Data!F16,2)</f>
        <v/>
      </c>
      <c r="G16" s="4">
        <f>PROPER(TRIM(Raw_Data!G16))</f>
        <v/>
      </c>
      <c r="H16" s="4">
        <f>PROPER(TRIM(Raw_Data!H16))</f>
        <v/>
      </c>
      <c r="I16" s="4">
        <f>PROPER(TRIM(Raw_Data!I16))</f>
        <v/>
      </c>
      <c r="J16" s="4">
        <f>TRIM(Raw_Data!J16)</f>
        <v/>
      </c>
      <c r="K16" s="4">
        <f>Raw_Data!K16</f>
        <v/>
      </c>
      <c r="L16" s="4">
        <f>IF(TRIM(Raw_Data!L16)="","No Coupon",TRIM(Raw_Data!L16))</f>
        <v/>
      </c>
      <c r="M16" s="4">
        <f>PROPER(TRIM(Raw_Data!M16))</f>
        <v/>
      </c>
      <c r="N16" s="6">
        <f>ROUND(Raw_Data!N16,2)</f>
        <v/>
      </c>
      <c r="O16" s="7">
        <f>IF(COUNTIF($A$2:$A$1201,A16)&gt;1,"DUPLICATE","Unique")</f>
        <v/>
      </c>
      <c r="P16" s="7">
        <f>IF(COUNTIF($J$2:$J$1201,J16)&gt;1,"DUPLICATE","Unique")</f>
        <v/>
      </c>
      <c r="Q16" s="4">
        <f>IF(TRIM(Raw_Data!L16)="","Yes","No")</f>
        <v/>
      </c>
      <c r="R16" s="4">
        <f>IF(ISNUMBER(B16),"Valid","INVALID")</f>
        <v/>
      </c>
    </row>
    <row r="17">
      <c r="A17" s="4">
        <f>TRIM(Raw_Data!A17)</f>
        <v/>
      </c>
      <c r="B17" s="5">
        <f>Raw_Data!B17</f>
        <v/>
      </c>
      <c r="C17" s="4">
        <f>TRIM(Raw_Data!C17)</f>
        <v/>
      </c>
      <c r="D17" s="4">
        <f>PROPER(TRIM(Raw_Data!D17))</f>
        <v/>
      </c>
      <c r="E17" s="4">
        <f>Raw_Data!E17</f>
        <v/>
      </c>
      <c r="F17" s="6">
        <f>ROUND(Raw_Data!F17,2)</f>
        <v/>
      </c>
      <c r="G17" s="4">
        <f>PROPER(TRIM(Raw_Data!G17))</f>
        <v/>
      </c>
      <c r="H17" s="4">
        <f>PROPER(TRIM(Raw_Data!H17))</f>
        <v/>
      </c>
      <c r="I17" s="4">
        <f>PROPER(TRIM(Raw_Data!I17))</f>
        <v/>
      </c>
      <c r="J17" s="4">
        <f>TRIM(Raw_Data!J17)</f>
        <v/>
      </c>
      <c r="K17" s="4">
        <f>Raw_Data!K17</f>
        <v/>
      </c>
      <c r="L17" s="4">
        <f>IF(TRIM(Raw_Data!L17)="","No Coupon",TRIM(Raw_Data!L17))</f>
        <v/>
      </c>
      <c r="M17" s="4">
        <f>PROPER(TRIM(Raw_Data!M17))</f>
        <v/>
      </c>
      <c r="N17" s="6">
        <f>ROUND(Raw_Data!N17,2)</f>
        <v/>
      </c>
      <c r="O17" s="7">
        <f>IF(COUNTIF($A$2:$A$1201,A17)&gt;1,"DUPLICATE","Unique")</f>
        <v/>
      </c>
      <c r="P17" s="7">
        <f>IF(COUNTIF($J$2:$J$1201,J17)&gt;1,"DUPLICATE","Unique")</f>
        <v/>
      </c>
      <c r="Q17" s="4">
        <f>IF(TRIM(Raw_Data!L17)="","Yes","No")</f>
        <v/>
      </c>
      <c r="R17" s="4">
        <f>IF(ISNUMBER(B17),"Valid","INVALID")</f>
        <v/>
      </c>
    </row>
    <row r="18">
      <c r="A18" s="4">
        <f>TRIM(Raw_Data!A18)</f>
        <v/>
      </c>
      <c r="B18" s="5">
        <f>Raw_Data!B18</f>
        <v/>
      </c>
      <c r="C18" s="4">
        <f>TRIM(Raw_Data!C18)</f>
        <v/>
      </c>
      <c r="D18" s="4">
        <f>PROPER(TRIM(Raw_Data!D18))</f>
        <v/>
      </c>
      <c r="E18" s="4">
        <f>Raw_Data!E18</f>
        <v/>
      </c>
      <c r="F18" s="6">
        <f>ROUND(Raw_Data!F18,2)</f>
        <v/>
      </c>
      <c r="G18" s="4">
        <f>PROPER(TRIM(Raw_Data!G18))</f>
        <v/>
      </c>
      <c r="H18" s="4">
        <f>PROPER(TRIM(Raw_Data!H18))</f>
        <v/>
      </c>
      <c r="I18" s="4">
        <f>PROPER(TRIM(Raw_Data!I18))</f>
        <v/>
      </c>
      <c r="J18" s="4">
        <f>TRIM(Raw_Data!J18)</f>
        <v/>
      </c>
      <c r="K18" s="4">
        <f>Raw_Data!K18</f>
        <v/>
      </c>
      <c r="L18" s="4">
        <f>IF(TRIM(Raw_Data!L18)="","No Coupon",TRIM(Raw_Data!L18))</f>
        <v/>
      </c>
      <c r="M18" s="4">
        <f>PROPER(TRIM(Raw_Data!M18))</f>
        <v/>
      </c>
      <c r="N18" s="6">
        <f>ROUND(Raw_Data!N18,2)</f>
        <v/>
      </c>
      <c r="O18" s="7">
        <f>IF(COUNTIF($A$2:$A$1201,A18)&gt;1,"DUPLICATE","Unique")</f>
        <v/>
      </c>
      <c r="P18" s="7">
        <f>IF(COUNTIF($J$2:$J$1201,J18)&gt;1,"DUPLICATE","Unique")</f>
        <v/>
      </c>
      <c r="Q18" s="4">
        <f>IF(TRIM(Raw_Data!L18)="","Yes","No")</f>
        <v/>
      </c>
      <c r="R18" s="4">
        <f>IF(ISNUMBER(B18),"Valid","INVALID")</f>
        <v/>
      </c>
    </row>
    <row r="19">
      <c r="A19" s="4">
        <f>TRIM(Raw_Data!A19)</f>
        <v/>
      </c>
      <c r="B19" s="5">
        <f>Raw_Data!B19</f>
        <v/>
      </c>
      <c r="C19" s="4">
        <f>TRIM(Raw_Data!C19)</f>
        <v/>
      </c>
      <c r="D19" s="4">
        <f>PROPER(TRIM(Raw_Data!D19))</f>
        <v/>
      </c>
      <c r="E19" s="4">
        <f>Raw_Data!E19</f>
        <v/>
      </c>
      <c r="F19" s="6">
        <f>ROUND(Raw_Data!F19,2)</f>
        <v/>
      </c>
      <c r="G19" s="4">
        <f>PROPER(TRIM(Raw_Data!G19))</f>
        <v/>
      </c>
      <c r="H19" s="4">
        <f>PROPER(TRIM(Raw_Data!H19))</f>
        <v/>
      </c>
      <c r="I19" s="4">
        <f>PROPER(TRIM(Raw_Data!I19))</f>
        <v/>
      </c>
      <c r="J19" s="4">
        <f>TRIM(Raw_Data!J19)</f>
        <v/>
      </c>
      <c r="K19" s="4">
        <f>Raw_Data!K19</f>
        <v/>
      </c>
      <c r="L19" s="4">
        <f>IF(TRIM(Raw_Data!L19)="","No Coupon",TRIM(Raw_Data!L19))</f>
        <v/>
      </c>
      <c r="M19" s="4">
        <f>PROPER(TRIM(Raw_Data!M19))</f>
        <v/>
      </c>
      <c r="N19" s="6">
        <f>ROUND(Raw_Data!N19,2)</f>
        <v/>
      </c>
      <c r="O19" s="7">
        <f>IF(COUNTIF($A$2:$A$1201,A19)&gt;1,"DUPLICATE","Unique")</f>
        <v/>
      </c>
      <c r="P19" s="7">
        <f>IF(COUNTIF($J$2:$J$1201,J19)&gt;1,"DUPLICATE","Unique")</f>
        <v/>
      </c>
      <c r="Q19" s="4">
        <f>IF(TRIM(Raw_Data!L19)="","Yes","No")</f>
        <v/>
      </c>
      <c r="R19" s="4">
        <f>IF(ISNUMBER(B19),"Valid","INVALID")</f>
        <v/>
      </c>
    </row>
    <row r="20">
      <c r="A20" s="4">
        <f>TRIM(Raw_Data!A20)</f>
        <v/>
      </c>
      <c r="B20" s="5">
        <f>Raw_Data!B20</f>
        <v/>
      </c>
      <c r="C20" s="4">
        <f>TRIM(Raw_Data!C20)</f>
        <v/>
      </c>
      <c r="D20" s="4">
        <f>PROPER(TRIM(Raw_Data!D20))</f>
        <v/>
      </c>
      <c r="E20" s="4">
        <f>Raw_Data!E20</f>
        <v/>
      </c>
      <c r="F20" s="6">
        <f>ROUND(Raw_Data!F20,2)</f>
        <v/>
      </c>
      <c r="G20" s="4">
        <f>PROPER(TRIM(Raw_Data!G20))</f>
        <v/>
      </c>
      <c r="H20" s="4">
        <f>PROPER(TRIM(Raw_Data!H20))</f>
        <v/>
      </c>
      <c r="I20" s="4">
        <f>PROPER(TRIM(Raw_Data!I20))</f>
        <v/>
      </c>
      <c r="J20" s="4">
        <f>TRIM(Raw_Data!J20)</f>
        <v/>
      </c>
      <c r="K20" s="4">
        <f>Raw_Data!K20</f>
        <v/>
      </c>
      <c r="L20" s="4">
        <f>IF(TRIM(Raw_Data!L20)="","No Coupon",TRIM(Raw_Data!L20))</f>
        <v/>
      </c>
      <c r="M20" s="4">
        <f>PROPER(TRIM(Raw_Data!M20))</f>
        <v/>
      </c>
      <c r="N20" s="6">
        <f>ROUND(Raw_Data!N20,2)</f>
        <v/>
      </c>
      <c r="O20" s="7">
        <f>IF(COUNTIF($A$2:$A$1201,A20)&gt;1,"DUPLICATE","Unique")</f>
        <v/>
      </c>
      <c r="P20" s="7">
        <f>IF(COUNTIF($J$2:$J$1201,J20)&gt;1,"DUPLICATE","Unique")</f>
        <v/>
      </c>
      <c r="Q20" s="4">
        <f>IF(TRIM(Raw_Data!L20)="","Yes","No")</f>
        <v/>
      </c>
      <c r="R20" s="4">
        <f>IF(ISNUMBER(B20),"Valid","INVALID")</f>
        <v/>
      </c>
    </row>
    <row r="21">
      <c r="A21" s="4">
        <f>TRIM(Raw_Data!A21)</f>
        <v/>
      </c>
      <c r="B21" s="5">
        <f>Raw_Data!B21</f>
        <v/>
      </c>
      <c r="C21" s="4">
        <f>TRIM(Raw_Data!C21)</f>
        <v/>
      </c>
      <c r="D21" s="4">
        <f>PROPER(TRIM(Raw_Data!D21))</f>
        <v/>
      </c>
      <c r="E21" s="4">
        <f>Raw_Data!E21</f>
        <v/>
      </c>
      <c r="F21" s="6">
        <f>ROUND(Raw_Data!F21,2)</f>
        <v/>
      </c>
      <c r="G21" s="4">
        <f>PROPER(TRIM(Raw_Data!G21))</f>
        <v/>
      </c>
      <c r="H21" s="4">
        <f>PROPER(TRIM(Raw_Data!H21))</f>
        <v/>
      </c>
      <c r="I21" s="4">
        <f>PROPER(TRIM(Raw_Data!I21))</f>
        <v/>
      </c>
      <c r="J21" s="4">
        <f>TRIM(Raw_Data!J21)</f>
        <v/>
      </c>
      <c r="K21" s="4">
        <f>Raw_Data!K21</f>
        <v/>
      </c>
      <c r="L21" s="4">
        <f>IF(TRIM(Raw_Data!L21)="","No Coupon",TRIM(Raw_Data!L21))</f>
        <v/>
      </c>
      <c r="M21" s="4">
        <f>PROPER(TRIM(Raw_Data!M21))</f>
        <v/>
      </c>
      <c r="N21" s="6">
        <f>ROUND(Raw_Data!N21,2)</f>
        <v/>
      </c>
      <c r="O21" s="7">
        <f>IF(COUNTIF($A$2:$A$1201,A21)&gt;1,"DUPLICATE","Unique")</f>
        <v/>
      </c>
      <c r="P21" s="7">
        <f>IF(COUNTIF($J$2:$J$1201,J21)&gt;1,"DUPLICATE","Unique")</f>
        <v/>
      </c>
      <c r="Q21" s="4">
        <f>IF(TRIM(Raw_Data!L21)="","Yes","No")</f>
        <v/>
      </c>
      <c r="R21" s="4">
        <f>IF(ISNUMBER(B21),"Valid","INVALID")</f>
        <v/>
      </c>
    </row>
    <row r="22">
      <c r="A22" s="4">
        <f>TRIM(Raw_Data!A22)</f>
        <v/>
      </c>
      <c r="B22" s="5">
        <f>Raw_Data!B22</f>
        <v/>
      </c>
      <c r="C22" s="4">
        <f>TRIM(Raw_Data!C22)</f>
        <v/>
      </c>
      <c r="D22" s="4">
        <f>PROPER(TRIM(Raw_Data!D22))</f>
        <v/>
      </c>
      <c r="E22" s="4">
        <f>Raw_Data!E22</f>
        <v/>
      </c>
      <c r="F22" s="6">
        <f>ROUND(Raw_Data!F22,2)</f>
        <v/>
      </c>
      <c r="G22" s="4">
        <f>PROPER(TRIM(Raw_Data!G22))</f>
        <v/>
      </c>
      <c r="H22" s="4">
        <f>PROPER(TRIM(Raw_Data!H22))</f>
        <v/>
      </c>
      <c r="I22" s="4">
        <f>PROPER(TRIM(Raw_Data!I22))</f>
        <v/>
      </c>
      <c r="J22" s="4">
        <f>TRIM(Raw_Data!J22)</f>
        <v/>
      </c>
      <c r="K22" s="4">
        <f>Raw_Data!K22</f>
        <v/>
      </c>
      <c r="L22" s="4">
        <f>IF(TRIM(Raw_Data!L22)="","No Coupon",TRIM(Raw_Data!L22))</f>
        <v/>
      </c>
      <c r="M22" s="4">
        <f>PROPER(TRIM(Raw_Data!M22))</f>
        <v/>
      </c>
      <c r="N22" s="6">
        <f>ROUND(Raw_Data!N22,2)</f>
        <v/>
      </c>
      <c r="O22" s="7">
        <f>IF(COUNTIF($A$2:$A$1201,A22)&gt;1,"DUPLICATE","Unique")</f>
        <v/>
      </c>
      <c r="P22" s="7">
        <f>IF(COUNTIF($J$2:$J$1201,J22)&gt;1,"DUPLICATE","Unique")</f>
        <v/>
      </c>
      <c r="Q22" s="4">
        <f>IF(TRIM(Raw_Data!L22)="","Yes","No")</f>
        <v/>
      </c>
      <c r="R22" s="4">
        <f>IF(ISNUMBER(B22),"Valid","INVALID")</f>
        <v/>
      </c>
    </row>
    <row r="23">
      <c r="A23" s="4">
        <f>TRIM(Raw_Data!A23)</f>
        <v/>
      </c>
      <c r="B23" s="5">
        <f>Raw_Data!B23</f>
        <v/>
      </c>
      <c r="C23" s="4">
        <f>TRIM(Raw_Data!C23)</f>
        <v/>
      </c>
      <c r="D23" s="4">
        <f>PROPER(TRIM(Raw_Data!D23))</f>
        <v/>
      </c>
      <c r="E23" s="4">
        <f>Raw_Data!E23</f>
        <v/>
      </c>
      <c r="F23" s="6">
        <f>ROUND(Raw_Data!F23,2)</f>
        <v/>
      </c>
      <c r="G23" s="4">
        <f>PROPER(TRIM(Raw_Data!G23))</f>
        <v/>
      </c>
      <c r="H23" s="4">
        <f>PROPER(TRIM(Raw_Data!H23))</f>
        <v/>
      </c>
      <c r="I23" s="4">
        <f>PROPER(TRIM(Raw_Data!I23))</f>
        <v/>
      </c>
      <c r="J23" s="4">
        <f>TRIM(Raw_Data!J23)</f>
        <v/>
      </c>
      <c r="K23" s="4">
        <f>Raw_Data!K23</f>
        <v/>
      </c>
      <c r="L23" s="4">
        <f>IF(TRIM(Raw_Data!L23)="","No Coupon",TRIM(Raw_Data!L23))</f>
        <v/>
      </c>
      <c r="M23" s="4">
        <f>PROPER(TRIM(Raw_Data!M23))</f>
        <v/>
      </c>
      <c r="N23" s="6">
        <f>ROUND(Raw_Data!N23,2)</f>
        <v/>
      </c>
      <c r="O23" s="7">
        <f>IF(COUNTIF($A$2:$A$1201,A23)&gt;1,"DUPLICATE","Unique")</f>
        <v/>
      </c>
      <c r="P23" s="7">
        <f>IF(COUNTIF($J$2:$J$1201,J23)&gt;1,"DUPLICATE","Unique")</f>
        <v/>
      </c>
      <c r="Q23" s="4">
        <f>IF(TRIM(Raw_Data!L23)="","Yes","No")</f>
        <v/>
      </c>
      <c r="R23" s="4">
        <f>IF(ISNUMBER(B23),"Valid","INVALID")</f>
        <v/>
      </c>
    </row>
    <row r="24">
      <c r="A24" s="4">
        <f>TRIM(Raw_Data!A24)</f>
        <v/>
      </c>
      <c r="B24" s="5">
        <f>Raw_Data!B24</f>
        <v/>
      </c>
      <c r="C24" s="4">
        <f>TRIM(Raw_Data!C24)</f>
        <v/>
      </c>
      <c r="D24" s="4">
        <f>PROPER(TRIM(Raw_Data!D24))</f>
        <v/>
      </c>
      <c r="E24" s="4">
        <f>Raw_Data!E24</f>
        <v/>
      </c>
      <c r="F24" s="6">
        <f>ROUND(Raw_Data!F24,2)</f>
        <v/>
      </c>
      <c r="G24" s="4">
        <f>PROPER(TRIM(Raw_Data!G24))</f>
        <v/>
      </c>
      <c r="H24" s="4">
        <f>PROPER(TRIM(Raw_Data!H24))</f>
        <v/>
      </c>
      <c r="I24" s="4">
        <f>PROPER(TRIM(Raw_Data!I24))</f>
        <v/>
      </c>
      <c r="J24" s="4">
        <f>TRIM(Raw_Data!J24)</f>
        <v/>
      </c>
      <c r="K24" s="4">
        <f>Raw_Data!K24</f>
        <v/>
      </c>
      <c r="L24" s="4">
        <f>IF(TRIM(Raw_Data!L24)="","No Coupon",TRIM(Raw_Data!L24))</f>
        <v/>
      </c>
      <c r="M24" s="4">
        <f>PROPER(TRIM(Raw_Data!M24))</f>
        <v/>
      </c>
      <c r="N24" s="6">
        <f>ROUND(Raw_Data!N24,2)</f>
        <v/>
      </c>
      <c r="O24" s="7">
        <f>IF(COUNTIF($A$2:$A$1201,A24)&gt;1,"DUPLICATE","Unique")</f>
        <v/>
      </c>
      <c r="P24" s="7">
        <f>IF(COUNTIF($J$2:$J$1201,J24)&gt;1,"DUPLICATE","Unique")</f>
        <v/>
      </c>
      <c r="Q24" s="4">
        <f>IF(TRIM(Raw_Data!L24)="","Yes","No")</f>
        <v/>
      </c>
      <c r="R24" s="4">
        <f>IF(ISNUMBER(B24),"Valid","INVALID")</f>
        <v/>
      </c>
    </row>
    <row r="25">
      <c r="A25" s="4">
        <f>TRIM(Raw_Data!A25)</f>
        <v/>
      </c>
      <c r="B25" s="5">
        <f>Raw_Data!B25</f>
        <v/>
      </c>
      <c r="C25" s="4">
        <f>TRIM(Raw_Data!C25)</f>
        <v/>
      </c>
      <c r="D25" s="4">
        <f>PROPER(TRIM(Raw_Data!D25))</f>
        <v/>
      </c>
      <c r="E25" s="4">
        <f>Raw_Data!E25</f>
        <v/>
      </c>
      <c r="F25" s="6">
        <f>ROUND(Raw_Data!F25,2)</f>
        <v/>
      </c>
      <c r="G25" s="4">
        <f>PROPER(TRIM(Raw_Data!G25))</f>
        <v/>
      </c>
      <c r="H25" s="4">
        <f>PROPER(TRIM(Raw_Data!H25))</f>
        <v/>
      </c>
      <c r="I25" s="4">
        <f>PROPER(TRIM(Raw_Data!I25))</f>
        <v/>
      </c>
      <c r="J25" s="4">
        <f>TRIM(Raw_Data!J25)</f>
        <v/>
      </c>
      <c r="K25" s="4">
        <f>Raw_Data!K25</f>
        <v/>
      </c>
      <c r="L25" s="4">
        <f>IF(TRIM(Raw_Data!L25)="","No Coupon",TRIM(Raw_Data!L25))</f>
        <v/>
      </c>
      <c r="M25" s="4">
        <f>PROPER(TRIM(Raw_Data!M25))</f>
        <v/>
      </c>
      <c r="N25" s="6">
        <f>ROUND(Raw_Data!N25,2)</f>
        <v/>
      </c>
      <c r="O25" s="7">
        <f>IF(COUNTIF($A$2:$A$1201,A25)&gt;1,"DUPLICATE","Unique")</f>
        <v/>
      </c>
      <c r="P25" s="7">
        <f>IF(COUNTIF($J$2:$J$1201,J25)&gt;1,"DUPLICATE","Unique")</f>
        <v/>
      </c>
      <c r="Q25" s="4">
        <f>IF(TRIM(Raw_Data!L25)="","Yes","No")</f>
        <v/>
      </c>
      <c r="R25" s="4">
        <f>IF(ISNUMBER(B25),"Valid","INVALID")</f>
        <v/>
      </c>
    </row>
    <row r="26">
      <c r="A26" s="4">
        <f>TRIM(Raw_Data!A26)</f>
        <v/>
      </c>
      <c r="B26" s="5">
        <f>Raw_Data!B26</f>
        <v/>
      </c>
      <c r="C26" s="4">
        <f>TRIM(Raw_Data!C26)</f>
        <v/>
      </c>
      <c r="D26" s="4">
        <f>PROPER(TRIM(Raw_Data!D26))</f>
        <v/>
      </c>
      <c r="E26" s="4">
        <f>Raw_Data!E26</f>
        <v/>
      </c>
      <c r="F26" s="6">
        <f>ROUND(Raw_Data!F26,2)</f>
        <v/>
      </c>
      <c r="G26" s="4">
        <f>PROPER(TRIM(Raw_Data!G26))</f>
        <v/>
      </c>
      <c r="H26" s="4">
        <f>PROPER(TRIM(Raw_Data!H26))</f>
        <v/>
      </c>
      <c r="I26" s="4">
        <f>PROPER(TRIM(Raw_Data!I26))</f>
        <v/>
      </c>
      <c r="J26" s="4">
        <f>TRIM(Raw_Data!J26)</f>
        <v/>
      </c>
      <c r="K26" s="4">
        <f>Raw_Data!K26</f>
        <v/>
      </c>
      <c r="L26" s="4">
        <f>IF(TRIM(Raw_Data!L26)="","No Coupon",TRIM(Raw_Data!L26))</f>
        <v/>
      </c>
      <c r="M26" s="4">
        <f>PROPER(TRIM(Raw_Data!M26))</f>
        <v/>
      </c>
      <c r="N26" s="6">
        <f>ROUND(Raw_Data!N26,2)</f>
        <v/>
      </c>
      <c r="O26" s="7">
        <f>IF(COUNTIF($A$2:$A$1201,A26)&gt;1,"DUPLICATE","Unique")</f>
        <v/>
      </c>
      <c r="P26" s="7">
        <f>IF(COUNTIF($J$2:$J$1201,J26)&gt;1,"DUPLICATE","Unique")</f>
        <v/>
      </c>
      <c r="Q26" s="4">
        <f>IF(TRIM(Raw_Data!L26)="","Yes","No")</f>
        <v/>
      </c>
      <c r="R26" s="4">
        <f>IF(ISNUMBER(B26),"Valid","INVALID")</f>
        <v/>
      </c>
    </row>
    <row r="27">
      <c r="A27" s="4">
        <f>TRIM(Raw_Data!A27)</f>
        <v/>
      </c>
      <c r="B27" s="5">
        <f>Raw_Data!B27</f>
        <v/>
      </c>
      <c r="C27" s="4">
        <f>TRIM(Raw_Data!C27)</f>
        <v/>
      </c>
      <c r="D27" s="4">
        <f>PROPER(TRIM(Raw_Data!D27))</f>
        <v/>
      </c>
      <c r="E27" s="4">
        <f>Raw_Data!E27</f>
        <v/>
      </c>
      <c r="F27" s="6">
        <f>ROUND(Raw_Data!F27,2)</f>
        <v/>
      </c>
      <c r="G27" s="4">
        <f>PROPER(TRIM(Raw_Data!G27))</f>
        <v/>
      </c>
      <c r="H27" s="4">
        <f>PROPER(TRIM(Raw_Data!H27))</f>
        <v/>
      </c>
      <c r="I27" s="4">
        <f>PROPER(TRIM(Raw_Data!I27))</f>
        <v/>
      </c>
      <c r="J27" s="4">
        <f>TRIM(Raw_Data!J27)</f>
        <v/>
      </c>
      <c r="K27" s="4">
        <f>Raw_Data!K27</f>
        <v/>
      </c>
      <c r="L27" s="4">
        <f>IF(TRIM(Raw_Data!L27)="","No Coupon",TRIM(Raw_Data!L27))</f>
        <v/>
      </c>
      <c r="M27" s="4">
        <f>PROPER(TRIM(Raw_Data!M27))</f>
        <v/>
      </c>
      <c r="N27" s="6">
        <f>ROUND(Raw_Data!N27,2)</f>
        <v/>
      </c>
      <c r="O27" s="7">
        <f>IF(COUNTIF($A$2:$A$1201,A27)&gt;1,"DUPLICATE","Unique")</f>
        <v/>
      </c>
      <c r="P27" s="7">
        <f>IF(COUNTIF($J$2:$J$1201,J27)&gt;1,"DUPLICATE","Unique")</f>
        <v/>
      </c>
      <c r="Q27" s="4">
        <f>IF(TRIM(Raw_Data!L27)="","Yes","No")</f>
        <v/>
      </c>
      <c r="R27" s="4">
        <f>IF(ISNUMBER(B27),"Valid","INVALID")</f>
        <v/>
      </c>
    </row>
    <row r="28">
      <c r="A28" s="4">
        <f>TRIM(Raw_Data!A28)</f>
        <v/>
      </c>
      <c r="B28" s="5">
        <f>Raw_Data!B28</f>
        <v/>
      </c>
      <c r="C28" s="4">
        <f>TRIM(Raw_Data!C28)</f>
        <v/>
      </c>
      <c r="D28" s="4">
        <f>PROPER(TRIM(Raw_Data!D28))</f>
        <v/>
      </c>
      <c r="E28" s="4">
        <f>Raw_Data!E28</f>
        <v/>
      </c>
      <c r="F28" s="6">
        <f>ROUND(Raw_Data!F28,2)</f>
        <v/>
      </c>
      <c r="G28" s="4">
        <f>PROPER(TRIM(Raw_Data!G28))</f>
        <v/>
      </c>
      <c r="H28" s="4">
        <f>PROPER(TRIM(Raw_Data!H28))</f>
        <v/>
      </c>
      <c r="I28" s="4">
        <f>PROPER(TRIM(Raw_Data!I28))</f>
        <v/>
      </c>
      <c r="J28" s="4">
        <f>TRIM(Raw_Data!J28)</f>
        <v/>
      </c>
      <c r="K28" s="4">
        <f>Raw_Data!K28</f>
        <v/>
      </c>
      <c r="L28" s="4">
        <f>IF(TRIM(Raw_Data!L28)="","No Coupon",TRIM(Raw_Data!L28))</f>
        <v/>
      </c>
      <c r="M28" s="4">
        <f>PROPER(TRIM(Raw_Data!M28))</f>
        <v/>
      </c>
      <c r="N28" s="6">
        <f>ROUND(Raw_Data!N28,2)</f>
        <v/>
      </c>
      <c r="O28" s="7">
        <f>IF(COUNTIF($A$2:$A$1201,A28)&gt;1,"DUPLICATE","Unique")</f>
        <v/>
      </c>
      <c r="P28" s="7">
        <f>IF(COUNTIF($J$2:$J$1201,J28)&gt;1,"DUPLICATE","Unique")</f>
        <v/>
      </c>
      <c r="Q28" s="4">
        <f>IF(TRIM(Raw_Data!L28)="","Yes","No")</f>
        <v/>
      </c>
      <c r="R28" s="4">
        <f>IF(ISNUMBER(B28),"Valid","INVALID")</f>
        <v/>
      </c>
    </row>
    <row r="29">
      <c r="A29" s="4">
        <f>TRIM(Raw_Data!A29)</f>
        <v/>
      </c>
      <c r="B29" s="5">
        <f>Raw_Data!B29</f>
        <v/>
      </c>
      <c r="C29" s="4">
        <f>TRIM(Raw_Data!C29)</f>
        <v/>
      </c>
      <c r="D29" s="4">
        <f>PROPER(TRIM(Raw_Data!D29))</f>
        <v/>
      </c>
      <c r="E29" s="4">
        <f>Raw_Data!E29</f>
        <v/>
      </c>
      <c r="F29" s="6">
        <f>ROUND(Raw_Data!F29,2)</f>
        <v/>
      </c>
      <c r="G29" s="4">
        <f>PROPER(TRIM(Raw_Data!G29))</f>
        <v/>
      </c>
      <c r="H29" s="4">
        <f>PROPER(TRIM(Raw_Data!H29))</f>
        <v/>
      </c>
      <c r="I29" s="4">
        <f>PROPER(TRIM(Raw_Data!I29))</f>
        <v/>
      </c>
      <c r="J29" s="4">
        <f>TRIM(Raw_Data!J29)</f>
        <v/>
      </c>
      <c r="K29" s="4">
        <f>Raw_Data!K29</f>
        <v/>
      </c>
      <c r="L29" s="4">
        <f>IF(TRIM(Raw_Data!L29)="","No Coupon",TRIM(Raw_Data!L29))</f>
        <v/>
      </c>
      <c r="M29" s="4">
        <f>PROPER(TRIM(Raw_Data!M29))</f>
        <v/>
      </c>
      <c r="N29" s="6">
        <f>ROUND(Raw_Data!N29,2)</f>
        <v/>
      </c>
      <c r="O29" s="7">
        <f>IF(COUNTIF($A$2:$A$1201,A29)&gt;1,"DUPLICATE","Unique")</f>
        <v/>
      </c>
      <c r="P29" s="7">
        <f>IF(COUNTIF($J$2:$J$1201,J29)&gt;1,"DUPLICATE","Unique")</f>
        <v/>
      </c>
      <c r="Q29" s="4">
        <f>IF(TRIM(Raw_Data!L29)="","Yes","No")</f>
        <v/>
      </c>
      <c r="R29" s="4">
        <f>IF(ISNUMBER(B29),"Valid","INVALID")</f>
        <v/>
      </c>
    </row>
    <row r="30">
      <c r="A30" s="4">
        <f>TRIM(Raw_Data!A30)</f>
        <v/>
      </c>
      <c r="B30" s="5">
        <f>Raw_Data!B30</f>
        <v/>
      </c>
      <c r="C30" s="4">
        <f>TRIM(Raw_Data!C30)</f>
        <v/>
      </c>
      <c r="D30" s="4">
        <f>PROPER(TRIM(Raw_Data!D30))</f>
        <v/>
      </c>
      <c r="E30" s="4">
        <f>Raw_Data!E30</f>
        <v/>
      </c>
      <c r="F30" s="6">
        <f>ROUND(Raw_Data!F30,2)</f>
        <v/>
      </c>
      <c r="G30" s="4">
        <f>PROPER(TRIM(Raw_Data!G30))</f>
        <v/>
      </c>
      <c r="H30" s="4">
        <f>PROPER(TRIM(Raw_Data!H30))</f>
        <v/>
      </c>
      <c r="I30" s="4">
        <f>PROPER(TRIM(Raw_Data!I30))</f>
        <v/>
      </c>
      <c r="J30" s="4">
        <f>TRIM(Raw_Data!J30)</f>
        <v/>
      </c>
      <c r="K30" s="4">
        <f>Raw_Data!K30</f>
        <v/>
      </c>
      <c r="L30" s="4">
        <f>IF(TRIM(Raw_Data!L30)="","No Coupon",TRIM(Raw_Data!L30))</f>
        <v/>
      </c>
      <c r="M30" s="4">
        <f>PROPER(TRIM(Raw_Data!M30))</f>
        <v/>
      </c>
      <c r="N30" s="6">
        <f>ROUND(Raw_Data!N30,2)</f>
        <v/>
      </c>
      <c r="O30" s="7">
        <f>IF(COUNTIF($A$2:$A$1201,A30)&gt;1,"DUPLICATE","Unique")</f>
        <v/>
      </c>
      <c r="P30" s="7">
        <f>IF(COUNTIF($J$2:$J$1201,J30)&gt;1,"DUPLICATE","Unique")</f>
        <v/>
      </c>
      <c r="Q30" s="4">
        <f>IF(TRIM(Raw_Data!L30)="","Yes","No")</f>
        <v/>
      </c>
      <c r="R30" s="4">
        <f>IF(ISNUMBER(B30),"Valid","INVALID")</f>
        <v/>
      </c>
    </row>
    <row r="31">
      <c r="A31" s="4">
        <f>TRIM(Raw_Data!A31)</f>
        <v/>
      </c>
      <c r="B31" s="5">
        <f>Raw_Data!B31</f>
        <v/>
      </c>
      <c r="C31" s="4">
        <f>TRIM(Raw_Data!C31)</f>
        <v/>
      </c>
      <c r="D31" s="4">
        <f>PROPER(TRIM(Raw_Data!D31))</f>
        <v/>
      </c>
      <c r="E31" s="4">
        <f>Raw_Data!E31</f>
        <v/>
      </c>
      <c r="F31" s="6">
        <f>ROUND(Raw_Data!F31,2)</f>
        <v/>
      </c>
      <c r="G31" s="4">
        <f>PROPER(TRIM(Raw_Data!G31))</f>
        <v/>
      </c>
      <c r="H31" s="4">
        <f>PROPER(TRIM(Raw_Data!H31))</f>
        <v/>
      </c>
      <c r="I31" s="4">
        <f>PROPER(TRIM(Raw_Data!I31))</f>
        <v/>
      </c>
      <c r="J31" s="4">
        <f>TRIM(Raw_Data!J31)</f>
        <v/>
      </c>
      <c r="K31" s="4">
        <f>Raw_Data!K31</f>
        <v/>
      </c>
      <c r="L31" s="4">
        <f>IF(TRIM(Raw_Data!L31)="","No Coupon",TRIM(Raw_Data!L31))</f>
        <v/>
      </c>
      <c r="M31" s="4">
        <f>PROPER(TRIM(Raw_Data!M31))</f>
        <v/>
      </c>
      <c r="N31" s="6">
        <f>ROUND(Raw_Data!N31,2)</f>
        <v/>
      </c>
      <c r="O31" s="7">
        <f>IF(COUNTIF($A$2:$A$1201,A31)&gt;1,"DUPLICATE","Unique")</f>
        <v/>
      </c>
      <c r="P31" s="7">
        <f>IF(COUNTIF($J$2:$J$1201,J31)&gt;1,"DUPLICATE","Unique")</f>
        <v/>
      </c>
      <c r="Q31" s="4">
        <f>IF(TRIM(Raw_Data!L31)="","Yes","No")</f>
        <v/>
      </c>
      <c r="R31" s="4">
        <f>IF(ISNUMBER(B31),"Valid","INVALID")</f>
        <v/>
      </c>
    </row>
    <row r="32">
      <c r="A32" s="4">
        <f>TRIM(Raw_Data!A32)</f>
        <v/>
      </c>
      <c r="B32" s="5">
        <f>Raw_Data!B32</f>
        <v/>
      </c>
      <c r="C32" s="4">
        <f>TRIM(Raw_Data!C32)</f>
        <v/>
      </c>
      <c r="D32" s="4">
        <f>PROPER(TRIM(Raw_Data!D32))</f>
        <v/>
      </c>
      <c r="E32" s="4">
        <f>Raw_Data!E32</f>
        <v/>
      </c>
      <c r="F32" s="6">
        <f>ROUND(Raw_Data!F32,2)</f>
        <v/>
      </c>
      <c r="G32" s="4">
        <f>PROPER(TRIM(Raw_Data!G32))</f>
        <v/>
      </c>
      <c r="H32" s="4">
        <f>PROPER(TRIM(Raw_Data!H32))</f>
        <v/>
      </c>
      <c r="I32" s="4">
        <f>PROPER(TRIM(Raw_Data!I32))</f>
        <v/>
      </c>
      <c r="J32" s="4">
        <f>TRIM(Raw_Data!J32)</f>
        <v/>
      </c>
      <c r="K32" s="4">
        <f>Raw_Data!K32</f>
        <v/>
      </c>
      <c r="L32" s="4">
        <f>IF(TRIM(Raw_Data!L32)="","No Coupon",TRIM(Raw_Data!L32))</f>
        <v/>
      </c>
      <c r="M32" s="4">
        <f>PROPER(TRIM(Raw_Data!M32))</f>
        <v/>
      </c>
      <c r="N32" s="6">
        <f>ROUND(Raw_Data!N32,2)</f>
        <v/>
      </c>
      <c r="O32" s="7">
        <f>IF(COUNTIF($A$2:$A$1201,A32)&gt;1,"DUPLICATE","Unique")</f>
        <v/>
      </c>
      <c r="P32" s="7">
        <f>IF(COUNTIF($J$2:$J$1201,J32)&gt;1,"DUPLICATE","Unique")</f>
        <v/>
      </c>
      <c r="Q32" s="4">
        <f>IF(TRIM(Raw_Data!L32)="","Yes","No")</f>
        <v/>
      </c>
      <c r="R32" s="4">
        <f>IF(ISNUMBER(B32),"Valid","INVALID")</f>
        <v/>
      </c>
    </row>
    <row r="33">
      <c r="A33" s="4">
        <f>TRIM(Raw_Data!A33)</f>
        <v/>
      </c>
      <c r="B33" s="5">
        <f>Raw_Data!B33</f>
        <v/>
      </c>
      <c r="C33" s="4">
        <f>TRIM(Raw_Data!C33)</f>
        <v/>
      </c>
      <c r="D33" s="4">
        <f>PROPER(TRIM(Raw_Data!D33))</f>
        <v/>
      </c>
      <c r="E33" s="4">
        <f>Raw_Data!E33</f>
        <v/>
      </c>
      <c r="F33" s="6">
        <f>ROUND(Raw_Data!F33,2)</f>
        <v/>
      </c>
      <c r="G33" s="4">
        <f>PROPER(TRIM(Raw_Data!G33))</f>
        <v/>
      </c>
      <c r="H33" s="4">
        <f>PROPER(TRIM(Raw_Data!H33))</f>
        <v/>
      </c>
      <c r="I33" s="4">
        <f>PROPER(TRIM(Raw_Data!I33))</f>
        <v/>
      </c>
      <c r="J33" s="4">
        <f>TRIM(Raw_Data!J33)</f>
        <v/>
      </c>
      <c r="K33" s="4">
        <f>Raw_Data!K33</f>
        <v/>
      </c>
      <c r="L33" s="4">
        <f>IF(TRIM(Raw_Data!L33)="","No Coupon",TRIM(Raw_Data!L33))</f>
        <v/>
      </c>
      <c r="M33" s="4">
        <f>PROPER(TRIM(Raw_Data!M33))</f>
        <v/>
      </c>
      <c r="N33" s="6">
        <f>ROUND(Raw_Data!N33,2)</f>
        <v/>
      </c>
      <c r="O33" s="7">
        <f>IF(COUNTIF($A$2:$A$1201,A33)&gt;1,"DUPLICATE","Unique")</f>
        <v/>
      </c>
      <c r="P33" s="7">
        <f>IF(COUNTIF($J$2:$J$1201,J33)&gt;1,"DUPLICATE","Unique")</f>
        <v/>
      </c>
      <c r="Q33" s="4">
        <f>IF(TRIM(Raw_Data!L33)="","Yes","No")</f>
        <v/>
      </c>
      <c r="R33" s="4">
        <f>IF(ISNUMBER(B33),"Valid","INVALID")</f>
        <v/>
      </c>
    </row>
    <row r="34">
      <c r="A34" s="4">
        <f>TRIM(Raw_Data!A34)</f>
        <v/>
      </c>
      <c r="B34" s="5">
        <f>Raw_Data!B34</f>
        <v/>
      </c>
      <c r="C34" s="4">
        <f>TRIM(Raw_Data!C34)</f>
        <v/>
      </c>
      <c r="D34" s="4">
        <f>PROPER(TRIM(Raw_Data!D34))</f>
        <v/>
      </c>
      <c r="E34" s="4">
        <f>Raw_Data!E34</f>
        <v/>
      </c>
      <c r="F34" s="6">
        <f>ROUND(Raw_Data!F34,2)</f>
        <v/>
      </c>
      <c r="G34" s="4">
        <f>PROPER(TRIM(Raw_Data!G34))</f>
        <v/>
      </c>
      <c r="H34" s="4">
        <f>PROPER(TRIM(Raw_Data!H34))</f>
        <v/>
      </c>
      <c r="I34" s="4">
        <f>PROPER(TRIM(Raw_Data!I34))</f>
        <v/>
      </c>
      <c r="J34" s="4">
        <f>TRIM(Raw_Data!J34)</f>
        <v/>
      </c>
      <c r="K34" s="4">
        <f>Raw_Data!K34</f>
        <v/>
      </c>
      <c r="L34" s="4">
        <f>IF(TRIM(Raw_Data!L34)="","No Coupon",TRIM(Raw_Data!L34))</f>
        <v/>
      </c>
      <c r="M34" s="4">
        <f>PROPER(TRIM(Raw_Data!M34))</f>
        <v/>
      </c>
      <c r="N34" s="6">
        <f>ROUND(Raw_Data!N34,2)</f>
        <v/>
      </c>
      <c r="O34" s="7">
        <f>IF(COUNTIF($A$2:$A$1201,A34)&gt;1,"DUPLICATE","Unique")</f>
        <v/>
      </c>
      <c r="P34" s="7">
        <f>IF(COUNTIF($J$2:$J$1201,J34)&gt;1,"DUPLICATE","Unique")</f>
        <v/>
      </c>
      <c r="Q34" s="4">
        <f>IF(TRIM(Raw_Data!L34)="","Yes","No")</f>
        <v/>
      </c>
      <c r="R34" s="4">
        <f>IF(ISNUMBER(B34),"Valid","INVALID")</f>
        <v/>
      </c>
    </row>
    <row r="35">
      <c r="A35" s="4">
        <f>TRIM(Raw_Data!A35)</f>
        <v/>
      </c>
      <c r="B35" s="5">
        <f>Raw_Data!B35</f>
        <v/>
      </c>
      <c r="C35" s="4">
        <f>TRIM(Raw_Data!C35)</f>
        <v/>
      </c>
      <c r="D35" s="4">
        <f>PROPER(TRIM(Raw_Data!D35))</f>
        <v/>
      </c>
      <c r="E35" s="4">
        <f>Raw_Data!E35</f>
        <v/>
      </c>
      <c r="F35" s="6">
        <f>ROUND(Raw_Data!F35,2)</f>
        <v/>
      </c>
      <c r="G35" s="4">
        <f>PROPER(TRIM(Raw_Data!G35))</f>
        <v/>
      </c>
      <c r="H35" s="4">
        <f>PROPER(TRIM(Raw_Data!H35))</f>
        <v/>
      </c>
      <c r="I35" s="4">
        <f>PROPER(TRIM(Raw_Data!I35))</f>
        <v/>
      </c>
      <c r="J35" s="4">
        <f>TRIM(Raw_Data!J35)</f>
        <v/>
      </c>
      <c r="K35" s="4">
        <f>Raw_Data!K35</f>
        <v/>
      </c>
      <c r="L35" s="4">
        <f>IF(TRIM(Raw_Data!L35)="","No Coupon",TRIM(Raw_Data!L35))</f>
        <v/>
      </c>
      <c r="M35" s="4">
        <f>PROPER(TRIM(Raw_Data!M35))</f>
        <v/>
      </c>
      <c r="N35" s="6">
        <f>ROUND(Raw_Data!N35,2)</f>
        <v/>
      </c>
      <c r="O35" s="7">
        <f>IF(COUNTIF($A$2:$A$1201,A35)&gt;1,"DUPLICATE","Unique")</f>
        <v/>
      </c>
      <c r="P35" s="7">
        <f>IF(COUNTIF($J$2:$J$1201,J35)&gt;1,"DUPLICATE","Unique")</f>
        <v/>
      </c>
      <c r="Q35" s="4">
        <f>IF(TRIM(Raw_Data!L35)="","Yes","No")</f>
        <v/>
      </c>
      <c r="R35" s="4">
        <f>IF(ISNUMBER(B35),"Valid","INVALID")</f>
        <v/>
      </c>
    </row>
    <row r="36">
      <c r="A36" s="4">
        <f>TRIM(Raw_Data!A36)</f>
        <v/>
      </c>
      <c r="B36" s="5">
        <f>Raw_Data!B36</f>
        <v/>
      </c>
      <c r="C36" s="4">
        <f>TRIM(Raw_Data!C36)</f>
        <v/>
      </c>
      <c r="D36" s="4">
        <f>PROPER(TRIM(Raw_Data!D36))</f>
        <v/>
      </c>
      <c r="E36" s="4">
        <f>Raw_Data!E36</f>
        <v/>
      </c>
      <c r="F36" s="6">
        <f>ROUND(Raw_Data!F36,2)</f>
        <v/>
      </c>
      <c r="G36" s="4">
        <f>PROPER(TRIM(Raw_Data!G36))</f>
        <v/>
      </c>
      <c r="H36" s="4">
        <f>PROPER(TRIM(Raw_Data!H36))</f>
        <v/>
      </c>
      <c r="I36" s="4">
        <f>PROPER(TRIM(Raw_Data!I36))</f>
        <v/>
      </c>
      <c r="J36" s="4">
        <f>TRIM(Raw_Data!J36)</f>
        <v/>
      </c>
      <c r="K36" s="4">
        <f>Raw_Data!K36</f>
        <v/>
      </c>
      <c r="L36" s="4">
        <f>IF(TRIM(Raw_Data!L36)="","No Coupon",TRIM(Raw_Data!L36))</f>
        <v/>
      </c>
      <c r="M36" s="4">
        <f>PROPER(TRIM(Raw_Data!M36))</f>
        <v/>
      </c>
      <c r="N36" s="6">
        <f>ROUND(Raw_Data!N36,2)</f>
        <v/>
      </c>
      <c r="O36" s="7">
        <f>IF(COUNTIF($A$2:$A$1201,A36)&gt;1,"DUPLICATE","Unique")</f>
        <v/>
      </c>
      <c r="P36" s="7">
        <f>IF(COUNTIF($J$2:$J$1201,J36)&gt;1,"DUPLICATE","Unique")</f>
        <v/>
      </c>
      <c r="Q36" s="4">
        <f>IF(TRIM(Raw_Data!L36)="","Yes","No")</f>
        <v/>
      </c>
      <c r="R36" s="4">
        <f>IF(ISNUMBER(B36),"Valid","INVALID")</f>
        <v/>
      </c>
    </row>
    <row r="37">
      <c r="A37" s="4">
        <f>TRIM(Raw_Data!A37)</f>
        <v/>
      </c>
      <c r="B37" s="5">
        <f>Raw_Data!B37</f>
        <v/>
      </c>
      <c r="C37" s="4">
        <f>TRIM(Raw_Data!C37)</f>
        <v/>
      </c>
      <c r="D37" s="4">
        <f>PROPER(TRIM(Raw_Data!D37))</f>
        <v/>
      </c>
      <c r="E37" s="4">
        <f>Raw_Data!E37</f>
        <v/>
      </c>
      <c r="F37" s="6">
        <f>ROUND(Raw_Data!F37,2)</f>
        <v/>
      </c>
      <c r="G37" s="4">
        <f>PROPER(TRIM(Raw_Data!G37))</f>
        <v/>
      </c>
      <c r="H37" s="4">
        <f>PROPER(TRIM(Raw_Data!H37))</f>
        <v/>
      </c>
      <c r="I37" s="4">
        <f>PROPER(TRIM(Raw_Data!I37))</f>
        <v/>
      </c>
      <c r="J37" s="4">
        <f>TRIM(Raw_Data!J37)</f>
        <v/>
      </c>
      <c r="K37" s="4">
        <f>Raw_Data!K37</f>
        <v/>
      </c>
      <c r="L37" s="4">
        <f>IF(TRIM(Raw_Data!L37)="","No Coupon",TRIM(Raw_Data!L37))</f>
        <v/>
      </c>
      <c r="M37" s="4">
        <f>PROPER(TRIM(Raw_Data!M37))</f>
        <v/>
      </c>
      <c r="N37" s="6">
        <f>ROUND(Raw_Data!N37,2)</f>
        <v/>
      </c>
      <c r="O37" s="7">
        <f>IF(COUNTIF($A$2:$A$1201,A37)&gt;1,"DUPLICATE","Unique")</f>
        <v/>
      </c>
      <c r="P37" s="7">
        <f>IF(COUNTIF($J$2:$J$1201,J37)&gt;1,"DUPLICATE","Unique")</f>
        <v/>
      </c>
      <c r="Q37" s="4">
        <f>IF(TRIM(Raw_Data!L37)="","Yes","No")</f>
        <v/>
      </c>
      <c r="R37" s="4">
        <f>IF(ISNUMBER(B37),"Valid","INVALID")</f>
        <v/>
      </c>
    </row>
    <row r="38">
      <c r="A38" s="4">
        <f>TRIM(Raw_Data!A38)</f>
        <v/>
      </c>
      <c r="B38" s="5">
        <f>Raw_Data!B38</f>
        <v/>
      </c>
      <c r="C38" s="4">
        <f>TRIM(Raw_Data!C38)</f>
        <v/>
      </c>
      <c r="D38" s="4">
        <f>PROPER(TRIM(Raw_Data!D38))</f>
        <v/>
      </c>
      <c r="E38" s="4">
        <f>Raw_Data!E38</f>
        <v/>
      </c>
      <c r="F38" s="6">
        <f>ROUND(Raw_Data!F38,2)</f>
        <v/>
      </c>
      <c r="G38" s="4">
        <f>PROPER(TRIM(Raw_Data!G38))</f>
        <v/>
      </c>
      <c r="H38" s="4">
        <f>PROPER(TRIM(Raw_Data!H38))</f>
        <v/>
      </c>
      <c r="I38" s="4">
        <f>PROPER(TRIM(Raw_Data!I38))</f>
        <v/>
      </c>
      <c r="J38" s="4">
        <f>TRIM(Raw_Data!J38)</f>
        <v/>
      </c>
      <c r="K38" s="4">
        <f>Raw_Data!K38</f>
        <v/>
      </c>
      <c r="L38" s="4">
        <f>IF(TRIM(Raw_Data!L38)="","No Coupon",TRIM(Raw_Data!L38))</f>
        <v/>
      </c>
      <c r="M38" s="4">
        <f>PROPER(TRIM(Raw_Data!M38))</f>
        <v/>
      </c>
      <c r="N38" s="6">
        <f>ROUND(Raw_Data!N38,2)</f>
        <v/>
      </c>
      <c r="O38" s="7">
        <f>IF(COUNTIF($A$2:$A$1201,A38)&gt;1,"DUPLICATE","Unique")</f>
        <v/>
      </c>
      <c r="P38" s="7">
        <f>IF(COUNTIF($J$2:$J$1201,J38)&gt;1,"DUPLICATE","Unique")</f>
        <v/>
      </c>
      <c r="Q38" s="4">
        <f>IF(TRIM(Raw_Data!L38)="","Yes","No")</f>
        <v/>
      </c>
      <c r="R38" s="4">
        <f>IF(ISNUMBER(B38),"Valid","INVALID")</f>
        <v/>
      </c>
    </row>
    <row r="39">
      <c r="A39" s="4">
        <f>TRIM(Raw_Data!A39)</f>
        <v/>
      </c>
      <c r="B39" s="5">
        <f>Raw_Data!B39</f>
        <v/>
      </c>
      <c r="C39" s="4">
        <f>TRIM(Raw_Data!C39)</f>
        <v/>
      </c>
      <c r="D39" s="4">
        <f>PROPER(TRIM(Raw_Data!D39))</f>
        <v/>
      </c>
      <c r="E39" s="4">
        <f>Raw_Data!E39</f>
        <v/>
      </c>
      <c r="F39" s="6">
        <f>ROUND(Raw_Data!F39,2)</f>
        <v/>
      </c>
      <c r="G39" s="4">
        <f>PROPER(TRIM(Raw_Data!G39))</f>
        <v/>
      </c>
      <c r="H39" s="4">
        <f>PROPER(TRIM(Raw_Data!H39))</f>
        <v/>
      </c>
      <c r="I39" s="4">
        <f>PROPER(TRIM(Raw_Data!I39))</f>
        <v/>
      </c>
      <c r="J39" s="4">
        <f>TRIM(Raw_Data!J39)</f>
        <v/>
      </c>
      <c r="K39" s="4">
        <f>Raw_Data!K39</f>
        <v/>
      </c>
      <c r="L39" s="4">
        <f>IF(TRIM(Raw_Data!L39)="","No Coupon",TRIM(Raw_Data!L39))</f>
        <v/>
      </c>
      <c r="M39" s="4">
        <f>PROPER(TRIM(Raw_Data!M39))</f>
        <v/>
      </c>
      <c r="N39" s="6">
        <f>ROUND(Raw_Data!N39,2)</f>
        <v/>
      </c>
      <c r="O39" s="7">
        <f>IF(COUNTIF($A$2:$A$1201,A39)&gt;1,"DUPLICATE","Unique")</f>
        <v/>
      </c>
      <c r="P39" s="7">
        <f>IF(COUNTIF($J$2:$J$1201,J39)&gt;1,"DUPLICATE","Unique")</f>
        <v/>
      </c>
      <c r="Q39" s="4">
        <f>IF(TRIM(Raw_Data!L39)="","Yes","No")</f>
        <v/>
      </c>
      <c r="R39" s="4">
        <f>IF(ISNUMBER(B39),"Valid","INVALID")</f>
        <v/>
      </c>
    </row>
    <row r="40">
      <c r="A40" s="4">
        <f>TRIM(Raw_Data!A40)</f>
        <v/>
      </c>
      <c r="B40" s="5">
        <f>Raw_Data!B40</f>
        <v/>
      </c>
      <c r="C40" s="4">
        <f>TRIM(Raw_Data!C40)</f>
        <v/>
      </c>
      <c r="D40" s="4">
        <f>PROPER(TRIM(Raw_Data!D40))</f>
        <v/>
      </c>
      <c r="E40" s="4">
        <f>Raw_Data!E40</f>
        <v/>
      </c>
      <c r="F40" s="6">
        <f>ROUND(Raw_Data!F40,2)</f>
        <v/>
      </c>
      <c r="G40" s="4">
        <f>PROPER(TRIM(Raw_Data!G40))</f>
        <v/>
      </c>
      <c r="H40" s="4">
        <f>PROPER(TRIM(Raw_Data!H40))</f>
        <v/>
      </c>
      <c r="I40" s="4">
        <f>PROPER(TRIM(Raw_Data!I40))</f>
        <v/>
      </c>
      <c r="J40" s="4">
        <f>TRIM(Raw_Data!J40)</f>
        <v/>
      </c>
      <c r="K40" s="4">
        <f>Raw_Data!K40</f>
        <v/>
      </c>
      <c r="L40" s="4">
        <f>IF(TRIM(Raw_Data!L40)="","No Coupon",TRIM(Raw_Data!L40))</f>
        <v/>
      </c>
      <c r="M40" s="4">
        <f>PROPER(TRIM(Raw_Data!M40))</f>
        <v/>
      </c>
      <c r="N40" s="6">
        <f>ROUND(Raw_Data!N40,2)</f>
        <v/>
      </c>
      <c r="O40" s="7">
        <f>IF(COUNTIF($A$2:$A$1201,A40)&gt;1,"DUPLICATE","Unique")</f>
        <v/>
      </c>
      <c r="P40" s="7">
        <f>IF(COUNTIF($J$2:$J$1201,J40)&gt;1,"DUPLICATE","Unique")</f>
        <v/>
      </c>
      <c r="Q40" s="4">
        <f>IF(TRIM(Raw_Data!L40)="","Yes","No")</f>
        <v/>
      </c>
      <c r="R40" s="4">
        <f>IF(ISNUMBER(B40),"Valid","INVALID")</f>
        <v/>
      </c>
    </row>
    <row r="41">
      <c r="A41" s="4">
        <f>TRIM(Raw_Data!A41)</f>
        <v/>
      </c>
      <c r="B41" s="5">
        <f>Raw_Data!B41</f>
        <v/>
      </c>
      <c r="C41" s="4">
        <f>TRIM(Raw_Data!C41)</f>
        <v/>
      </c>
      <c r="D41" s="4">
        <f>PROPER(TRIM(Raw_Data!D41))</f>
        <v/>
      </c>
      <c r="E41" s="4">
        <f>Raw_Data!E41</f>
        <v/>
      </c>
      <c r="F41" s="6">
        <f>ROUND(Raw_Data!F41,2)</f>
        <v/>
      </c>
      <c r="G41" s="4">
        <f>PROPER(TRIM(Raw_Data!G41))</f>
        <v/>
      </c>
      <c r="H41" s="4">
        <f>PROPER(TRIM(Raw_Data!H41))</f>
        <v/>
      </c>
      <c r="I41" s="4">
        <f>PROPER(TRIM(Raw_Data!I41))</f>
        <v/>
      </c>
      <c r="J41" s="4">
        <f>TRIM(Raw_Data!J41)</f>
        <v/>
      </c>
      <c r="K41" s="4">
        <f>Raw_Data!K41</f>
        <v/>
      </c>
      <c r="L41" s="4">
        <f>IF(TRIM(Raw_Data!L41)="","No Coupon",TRIM(Raw_Data!L41))</f>
        <v/>
      </c>
      <c r="M41" s="4">
        <f>PROPER(TRIM(Raw_Data!M41))</f>
        <v/>
      </c>
      <c r="N41" s="6">
        <f>ROUND(Raw_Data!N41,2)</f>
        <v/>
      </c>
      <c r="O41" s="7">
        <f>IF(COUNTIF($A$2:$A$1201,A41)&gt;1,"DUPLICATE","Unique")</f>
        <v/>
      </c>
      <c r="P41" s="7">
        <f>IF(COUNTIF($J$2:$J$1201,J41)&gt;1,"DUPLICATE","Unique")</f>
        <v/>
      </c>
      <c r="Q41" s="4">
        <f>IF(TRIM(Raw_Data!L41)="","Yes","No")</f>
        <v/>
      </c>
      <c r="R41" s="4">
        <f>IF(ISNUMBER(B41),"Valid","INVALID")</f>
        <v/>
      </c>
    </row>
    <row r="42">
      <c r="A42" s="4">
        <f>TRIM(Raw_Data!A42)</f>
        <v/>
      </c>
      <c r="B42" s="5">
        <f>Raw_Data!B42</f>
        <v/>
      </c>
      <c r="C42" s="4">
        <f>TRIM(Raw_Data!C42)</f>
        <v/>
      </c>
      <c r="D42" s="4">
        <f>PROPER(TRIM(Raw_Data!D42))</f>
        <v/>
      </c>
      <c r="E42" s="4">
        <f>Raw_Data!E42</f>
        <v/>
      </c>
      <c r="F42" s="6">
        <f>ROUND(Raw_Data!F42,2)</f>
        <v/>
      </c>
      <c r="G42" s="4">
        <f>PROPER(TRIM(Raw_Data!G42))</f>
        <v/>
      </c>
      <c r="H42" s="4">
        <f>PROPER(TRIM(Raw_Data!H42))</f>
        <v/>
      </c>
      <c r="I42" s="4">
        <f>PROPER(TRIM(Raw_Data!I42))</f>
        <v/>
      </c>
      <c r="J42" s="4">
        <f>TRIM(Raw_Data!J42)</f>
        <v/>
      </c>
      <c r="K42" s="4">
        <f>Raw_Data!K42</f>
        <v/>
      </c>
      <c r="L42" s="4">
        <f>IF(TRIM(Raw_Data!L42)="","No Coupon",TRIM(Raw_Data!L42))</f>
        <v/>
      </c>
      <c r="M42" s="4">
        <f>PROPER(TRIM(Raw_Data!M42))</f>
        <v/>
      </c>
      <c r="N42" s="6">
        <f>ROUND(Raw_Data!N42,2)</f>
        <v/>
      </c>
      <c r="O42" s="7">
        <f>IF(COUNTIF($A$2:$A$1201,A42)&gt;1,"DUPLICATE","Unique")</f>
        <v/>
      </c>
      <c r="P42" s="7">
        <f>IF(COUNTIF($J$2:$J$1201,J42)&gt;1,"DUPLICATE","Unique")</f>
        <v/>
      </c>
      <c r="Q42" s="4">
        <f>IF(TRIM(Raw_Data!L42)="","Yes","No")</f>
        <v/>
      </c>
      <c r="R42" s="4">
        <f>IF(ISNUMBER(B42),"Valid","INVALID")</f>
        <v/>
      </c>
    </row>
    <row r="43">
      <c r="A43" s="4">
        <f>TRIM(Raw_Data!A43)</f>
        <v/>
      </c>
      <c r="B43" s="5">
        <f>Raw_Data!B43</f>
        <v/>
      </c>
      <c r="C43" s="4">
        <f>TRIM(Raw_Data!C43)</f>
        <v/>
      </c>
      <c r="D43" s="4">
        <f>PROPER(TRIM(Raw_Data!D43))</f>
        <v/>
      </c>
      <c r="E43" s="4">
        <f>Raw_Data!E43</f>
        <v/>
      </c>
      <c r="F43" s="6">
        <f>ROUND(Raw_Data!F43,2)</f>
        <v/>
      </c>
      <c r="G43" s="4">
        <f>PROPER(TRIM(Raw_Data!G43))</f>
        <v/>
      </c>
      <c r="H43" s="4">
        <f>PROPER(TRIM(Raw_Data!H43))</f>
        <v/>
      </c>
      <c r="I43" s="4">
        <f>PROPER(TRIM(Raw_Data!I43))</f>
        <v/>
      </c>
      <c r="J43" s="4">
        <f>TRIM(Raw_Data!J43)</f>
        <v/>
      </c>
      <c r="K43" s="4">
        <f>Raw_Data!K43</f>
        <v/>
      </c>
      <c r="L43" s="4">
        <f>IF(TRIM(Raw_Data!L43)="","No Coupon",TRIM(Raw_Data!L43))</f>
        <v/>
      </c>
      <c r="M43" s="4">
        <f>PROPER(TRIM(Raw_Data!M43))</f>
        <v/>
      </c>
      <c r="N43" s="6">
        <f>ROUND(Raw_Data!N43,2)</f>
        <v/>
      </c>
      <c r="O43" s="7">
        <f>IF(COUNTIF($A$2:$A$1201,A43)&gt;1,"DUPLICATE","Unique")</f>
        <v/>
      </c>
      <c r="P43" s="7">
        <f>IF(COUNTIF($J$2:$J$1201,J43)&gt;1,"DUPLICATE","Unique")</f>
        <v/>
      </c>
      <c r="Q43" s="4">
        <f>IF(TRIM(Raw_Data!L43)="","Yes","No")</f>
        <v/>
      </c>
      <c r="R43" s="4">
        <f>IF(ISNUMBER(B43),"Valid","INVALID")</f>
        <v/>
      </c>
    </row>
    <row r="44">
      <c r="A44" s="4">
        <f>TRIM(Raw_Data!A44)</f>
        <v/>
      </c>
      <c r="B44" s="5">
        <f>Raw_Data!B44</f>
        <v/>
      </c>
      <c r="C44" s="4">
        <f>TRIM(Raw_Data!C44)</f>
        <v/>
      </c>
      <c r="D44" s="4">
        <f>PROPER(TRIM(Raw_Data!D44))</f>
        <v/>
      </c>
      <c r="E44" s="4">
        <f>Raw_Data!E44</f>
        <v/>
      </c>
      <c r="F44" s="6">
        <f>ROUND(Raw_Data!F44,2)</f>
        <v/>
      </c>
      <c r="G44" s="4">
        <f>PROPER(TRIM(Raw_Data!G44))</f>
        <v/>
      </c>
      <c r="H44" s="4">
        <f>PROPER(TRIM(Raw_Data!H44))</f>
        <v/>
      </c>
      <c r="I44" s="4">
        <f>PROPER(TRIM(Raw_Data!I44))</f>
        <v/>
      </c>
      <c r="J44" s="4">
        <f>TRIM(Raw_Data!J44)</f>
        <v/>
      </c>
      <c r="K44" s="4">
        <f>Raw_Data!K44</f>
        <v/>
      </c>
      <c r="L44" s="4">
        <f>IF(TRIM(Raw_Data!L44)="","No Coupon",TRIM(Raw_Data!L44))</f>
        <v/>
      </c>
      <c r="M44" s="4">
        <f>PROPER(TRIM(Raw_Data!M44))</f>
        <v/>
      </c>
      <c r="N44" s="6">
        <f>ROUND(Raw_Data!N44,2)</f>
        <v/>
      </c>
      <c r="O44" s="7">
        <f>IF(COUNTIF($A$2:$A$1201,A44)&gt;1,"DUPLICATE","Unique")</f>
        <v/>
      </c>
      <c r="P44" s="7">
        <f>IF(COUNTIF($J$2:$J$1201,J44)&gt;1,"DUPLICATE","Unique")</f>
        <v/>
      </c>
      <c r="Q44" s="4">
        <f>IF(TRIM(Raw_Data!L44)="","Yes","No")</f>
        <v/>
      </c>
      <c r="R44" s="4">
        <f>IF(ISNUMBER(B44),"Valid","INVALID")</f>
        <v/>
      </c>
    </row>
    <row r="45">
      <c r="A45" s="4">
        <f>TRIM(Raw_Data!A45)</f>
        <v/>
      </c>
      <c r="B45" s="5">
        <f>Raw_Data!B45</f>
        <v/>
      </c>
      <c r="C45" s="4">
        <f>TRIM(Raw_Data!C45)</f>
        <v/>
      </c>
      <c r="D45" s="4">
        <f>PROPER(TRIM(Raw_Data!D45))</f>
        <v/>
      </c>
      <c r="E45" s="4">
        <f>Raw_Data!E45</f>
        <v/>
      </c>
      <c r="F45" s="6">
        <f>ROUND(Raw_Data!F45,2)</f>
        <v/>
      </c>
      <c r="G45" s="4">
        <f>PROPER(TRIM(Raw_Data!G45))</f>
        <v/>
      </c>
      <c r="H45" s="4">
        <f>PROPER(TRIM(Raw_Data!H45))</f>
        <v/>
      </c>
      <c r="I45" s="4">
        <f>PROPER(TRIM(Raw_Data!I45))</f>
        <v/>
      </c>
      <c r="J45" s="4">
        <f>TRIM(Raw_Data!J45)</f>
        <v/>
      </c>
      <c r="K45" s="4">
        <f>Raw_Data!K45</f>
        <v/>
      </c>
      <c r="L45" s="4">
        <f>IF(TRIM(Raw_Data!L45)="","No Coupon",TRIM(Raw_Data!L45))</f>
        <v/>
      </c>
      <c r="M45" s="4">
        <f>PROPER(TRIM(Raw_Data!M45))</f>
        <v/>
      </c>
      <c r="N45" s="6">
        <f>ROUND(Raw_Data!N45,2)</f>
        <v/>
      </c>
      <c r="O45" s="7">
        <f>IF(COUNTIF($A$2:$A$1201,A45)&gt;1,"DUPLICATE","Unique")</f>
        <v/>
      </c>
      <c r="P45" s="7">
        <f>IF(COUNTIF($J$2:$J$1201,J45)&gt;1,"DUPLICATE","Unique")</f>
        <v/>
      </c>
      <c r="Q45" s="4">
        <f>IF(TRIM(Raw_Data!L45)="","Yes","No")</f>
        <v/>
      </c>
      <c r="R45" s="4">
        <f>IF(ISNUMBER(B45),"Valid","INVALID")</f>
        <v/>
      </c>
    </row>
    <row r="46">
      <c r="A46" s="4">
        <f>TRIM(Raw_Data!A46)</f>
        <v/>
      </c>
      <c r="B46" s="5">
        <f>Raw_Data!B46</f>
        <v/>
      </c>
      <c r="C46" s="4">
        <f>TRIM(Raw_Data!C46)</f>
        <v/>
      </c>
      <c r="D46" s="4">
        <f>PROPER(TRIM(Raw_Data!D46))</f>
        <v/>
      </c>
      <c r="E46" s="4">
        <f>Raw_Data!E46</f>
        <v/>
      </c>
      <c r="F46" s="6">
        <f>ROUND(Raw_Data!F46,2)</f>
        <v/>
      </c>
      <c r="G46" s="4">
        <f>PROPER(TRIM(Raw_Data!G46))</f>
        <v/>
      </c>
      <c r="H46" s="4">
        <f>PROPER(TRIM(Raw_Data!H46))</f>
        <v/>
      </c>
      <c r="I46" s="4">
        <f>PROPER(TRIM(Raw_Data!I46))</f>
        <v/>
      </c>
      <c r="J46" s="4">
        <f>TRIM(Raw_Data!J46)</f>
        <v/>
      </c>
      <c r="K46" s="4">
        <f>Raw_Data!K46</f>
        <v/>
      </c>
      <c r="L46" s="4">
        <f>IF(TRIM(Raw_Data!L46)="","No Coupon",TRIM(Raw_Data!L46))</f>
        <v/>
      </c>
      <c r="M46" s="4">
        <f>PROPER(TRIM(Raw_Data!M46))</f>
        <v/>
      </c>
      <c r="N46" s="6">
        <f>ROUND(Raw_Data!N46,2)</f>
        <v/>
      </c>
      <c r="O46" s="7">
        <f>IF(COUNTIF($A$2:$A$1201,A46)&gt;1,"DUPLICATE","Unique")</f>
        <v/>
      </c>
      <c r="P46" s="7">
        <f>IF(COUNTIF($J$2:$J$1201,J46)&gt;1,"DUPLICATE","Unique")</f>
        <v/>
      </c>
      <c r="Q46" s="4">
        <f>IF(TRIM(Raw_Data!L46)="","Yes","No")</f>
        <v/>
      </c>
      <c r="R46" s="4">
        <f>IF(ISNUMBER(B46),"Valid","INVALID")</f>
        <v/>
      </c>
    </row>
    <row r="47">
      <c r="A47" s="4">
        <f>TRIM(Raw_Data!A47)</f>
        <v/>
      </c>
      <c r="B47" s="5">
        <f>Raw_Data!B47</f>
        <v/>
      </c>
      <c r="C47" s="4">
        <f>TRIM(Raw_Data!C47)</f>
        <v/>
      </c>
      <c r="D47" s="4">
        <f>PROPER(TRIM(Raw_Data!D47))</f>
        <v/>
      </c>
      <c r="E47" s="4">
        <f>Raw_Data!E47</f>
        <v/>
      </c>
      <c r="F47" s="6">
        <f>ROUND(Raw_Data!F47,2)</f>
        <v/>
      </c>
      <c r="G47" s="4">
        <f>PROPER(TRIM(Raw_Data!G47))</f>
        <v/>
      </c>
      <c r="H47" s="4">
        <f>PROPER(TRIM(Raw_Data!H47))</f>
        <v/>
      </c>
      <c r="I47" s="4">
        <f>PROPER(TRIM(Raw_Data!I47))</f>
        <v/>
      </c>
      <c r="J47" s="4">
        <f>TRIM(Raw_Data!J47)</f>
        <v/>
      </c>
      <c r="K47" s="4">
        <f>Raw_Data!K47</f>
        <v/>
      </c>
      <c r="L47" s="4">
        <f>IF(TRIM(Raw_Data!L47)="","No Coupon",TRIM(Raw_Data!L47))</f>
        <v/>
      </c>
      <c r="M47" s="4">
        <f>PROPER(TRIM(Raw_Data!M47))</f>
        <v/>
      </c>
      <c r="N47" s="6">
        <f>ROUND(Raw_Data!N47,2)</f>
        <v/>
      </c>
      <c r="O47" s="7">
        <f>IF(COUNTIF($A$2:$A$1201,A47)&gt;1,"DUPLICATE","Unique")</f>
        <v/>
      </c>
      <c r="P47" s="7">
        <f>IF(COUNTIF($J$2:$J$1201,J47)&gt;1,"DUPLICATE","Unique")</f>
        <v/>
      </c>
      <c r="Q47" s="4">
        <f>IF(TRIM(Raw_Data!L47)="","Yes","No")</f>
        <v/>
      </c>
      <c r="R47" s="4">
        <f>IF(ISNUMBER(B47),"Valid","INVALID")</f>
        <v/>
      </c>
    </row>
    <row r="48">
      <c r="A48" s="4">
        <f>TRIM(Raw_Data!A48)</f>
        <v/>
      </c>
      <c r="B48" s="5">
        <f>Raw_Data!B48</f>
        <v/>
      </c>
      <c r="C48" s="4">
        <f>TRIM(Raw_Data!C48)</f>
        <v/>
      </c>
      <c r="D48" s="4">
        <f>PROPER(TRIM(Raw_Data!D48))</f>
        <v/>
      </c>
      <c r="E48" s="4">
        <f>Raw_Data!E48</f>
        <v/>
      </c>
      <c r="F48" s="6">
        <f>ROUND(Raw_Data!F48,2)</f>
        <v/>
      </c>
      <c r="G48" s="4">
        <f>PROPER(TRIM(Raw_Data!G48))</f>
        <v/>
      </c>
      <c r="H48" s="4">
        <f>PROPER(TRIM(Raw_Data!H48))</f>
        <v/>
      </c>
      <c r="I48" s="4">
        <f>PROPER(TRIM(Raw_Data!I48))</f>
        <v/>
      </c>
      <c r="J48" s="4">
        <f>TRIM(Raw_Data!J48)</f>
        <v/>
      </c>
      <c r="K48" s="4">
        <f>Raw_Data!K48</f>
        <v/>
      </c>
      <c r="L48" s="4">
        <f>IF(TRIM(Raw_Data!L48)="","No Coupon",TRIM(Raw_Data!L48))</f>
        <v/>
      </c>
      <c r="M48" s="4">
        <f>PROPER(TRIM(Raw_Data!M48))</f>
        <v/>
      </c>
      <c r="N48" s="6">
        <f>ROUND(Raw_Data!N48,2)</f>
        <v/>
      </c>
      <c r="O48" s="7">
        <f>IF(COUNTIF($A$2:$A$1201,A48)&gt;1,"DUPLICATE","Unique")</f>
        <v/>
      </c>
      <c r="P48" s="7">
        <f>IF(COUNTIF($J$2:$J$1201,J48)&gt;1,"DUPLICATE","Unique")</f>
        <v/>
      </c>
      <c r="Q48" s="4">
        <f>IF(TRIM(Raw_Data!L48)="","Yes","No")</f>
        <v/>
      </c>
      <c r="R48" s="4">
        <f>IF(ISNUMBER(B48),"Valid","INVALID")</f>
        <v/>
      </c>
    </row>
    <row r="49">
      <c r="A49" s="4">
        <f>TRIM(Raw_Data!A49)</f>
        <v/>
      </c>
      <c r="B49" s="5">
        <f>Raw_Data!B49</f>
        <v/>
      </c>
      <c r="C49" s="4">
        <f>TRIM(Raw_Data!C49)</f>
        <v/>
      </c>
      <c r="D49" s="4">
        <f>PROPER(TRIM(Raw_Data!D49))</f>
        <v/>
      </c>
      <c r="E49" s="4">
        <f>Raw_Data!E49</f>
        <v/>
      </c>
      <c r="F49" s="6">
        <f>ROUND(Raw_Data!F49,2)</f>
        <v/>
      </c>
      <c r="G49" s="4">
        <f>PROPER(TRIM(Raw_Data!G49))</f>
        <v/>
      </c>
      <c r="H49" s="4">
        <f>PROPER(TRIM(Raw_Data!H49))</f>
        <v/>
      </c>
      <c r="I49" s="4">
        <f>PROPER(TRIM(Raw_Data!I49))</f>
        <v/>
      </c>
      <c r="J49" s="4">
        <f>TRIM(Raw_Data!J49)</f>
        <v/>
      </c>
      <c r="K49" s="4">
        <f>Raw_Data!K49</f>
        <v/>
      </c>
      <c r="L49" s="4">
        <f>IF(TRIM(Raw_Data!L49)="","No Coupon",TRIM(Raw_Data!L49))</f>
        <v/>
      </c>
      <c r="M49" s="4">
        <f>PROPER(TRIM(Raw_Data!M49))</f>
        <v/>
      </c>
      <c r="N49" s="6">
        <f>ROUND(Raw_Data!N49,2)</f>
        <v/>
      </c>
      <c r="O49" s="7">
        <f>IF(COUNTIF($A$2:$A$1201,A49)&gt;1,"DUPLICATE","Unique")</f>
        <v/>
      </c>
      <c r="P49" s="7">
        <f>IF(COUNTIF($J$2:$J$1201,J49)&gt;1,"DUPLICATE","Unique")</f>
        <v/>
      </c>
      <c r="Q49" s="4">
        <f>IF(TRIM(Raw_Data!L49)="","Yes","No")</f>
        <v/>
      </c>
      <c r="R49" s="4">
        <f>IF(ISNUMBER(B49),"Valid","INVALID")</f>
        <v/>
      </c>
    </row>
    <row r="50">
      <c r="A50" s="4">
        <f>TRIM(Raw_Data!A50)</f>
        <v/>
      </c>
      <c r="B50" s="5">
        <f>Raw_Data!B50</f>
        <v/>
      </c>
      <c r="C50" s="4">
        <f>TRIM(Raw_Data!C50)</f>
        <v/>
      </c>
      <c r="D50" s="4">
        <f>PROPER(TRIM(Raw_Data!D50))</f>
        <v/>
      </c>
      <c r="E50" s="4">
        <f>Raw_Data!E50</f>
        <v/>
      </c>
      <c r="F50" s="6">
        <f>ROUND(Raw_Data!F50,2)</f>
        <v/>
      </c>
      <c r="G50" s="4">
        <f>PROPER(TRIM(Raw_Data!G50))</f>
        <v/>
      </c>
      <c r="H50" s="4">
        <f>PROPER(TRIM(Raw_Data!H50))</f>
        <v/>
      </c>
      <c r="I50" s="4">
        <f>PROPER(TRIM(Raw_Data!I50))</f>
        <v/>
      </c>
      <c r="J50" s="4">
        <f>TRIM(Raw_Data!J50)</f>
        <v/>
      </c>
      <c r="K50" s="4">
        <f>Raw_Data!K50</f>
        <v/>
      </c>
      <c r="L50" s="4">
        <f>IF(TRIM(Raw_Data!L50)="","No Coupon",TRIM(Raw_Data!L50))</f>
        <v/>
      </c>
      <c r="M50" s="4">
        <f>PROPER(TRIM(Raw_Data!M50))</f>
        <v/>
      </c>
      <c r="N50" s="6">
        <f>ROUND(Raw_Data!N50,2)</f>
        <v/>
      </c>
      <c r="O50" s="7">
        <f>IF(COUNTIF($A$2:$A$1201,A50)&gt;1,"DUPLICATE","Unique")</f>
        <v/>
      </c>
      <c r="P50" s="7">
        <f>IF(COUNTIF($J$2:$J$1201,J50)&gt;1,"DUPLICATE","Unique")</f>
        <v/>
      </c>
      <c r="Q50" s="4">
        <f>IF(TRIM(Raw_Data!L50)="","Yes","No")</f>
        <v/>
      </c>
      <c r="R50" s="4">
        <f>IF(ISNUMBER(B50),"Valid","INVALID")</f>
        <v/>
      </c>
    </row>
    <row r="51">
      <c r="A51" s="4">
        <f>TRIM(Raw_Data!A51)</f>
        <v/>
      </c>
      <c r="B51" s="5">
        <f>Raw_Data!B51</f>
        <v/>
      </c>
      <c r="C51" s="4">
        <f>TRIM(Raw_Data!C51)</f>
        <v/>
      </c>
      <c r="D51" s="4">
        <f>PROPER(TRIM(Raw_Data!D51))</f>
        <v/>
      </c>
      <c r="E51" s="4">
        <f>Raw_Data!E51</f>
        <v/>
      </c>
      <c r="F51" s="6">
        <f>ROUND(Raw_Data!F51,2)</f>
        <v/>
      </c>
      <c r="G51" s="4">
        <f>PROPER(TRIM(Raw_Data!G51))</f>
        <v/>
      </c>
      <c r="H51" s="4">
        <f>PROPER(TRIM(Raw_Data!H51))</f>
        <v/>
      </c>
      <c r="I51" s="4">
        <f>PROPER(TRIM(Raw_Data!I51))</f>
        <v/>
      </c>
      <c r="J51" s="4">
        <f>TRIM(Raw_Data!J51)</f>
        <v/>
      </c>
      <c r="K51" s="4">
        <f>Raw_Data!K51</f>
        <v/>
      </c>
      <c r="L51" s="4">
        <f>IF(TRIM(Raw_Data!L51)="","No Coupon",TRIM(Raw_Data!L51))</f>
        <v/>
      </c>
      <c r="M51" s="4">
        <f>PROPER(TRIM(Raw_Data!M51))</f>
        <v/>
      </c>
      <c r="N51" s="6">
        <f>ROUND(Raw_Data!N51,2)</f>
        <v/>
      </c>
      <c r="O51" s="7">
        <f>IF(COUNTIF($A$2:$A$1201,A51)&gt;1,"DUPLICATE","Unique")</f>
        <v/>
      </c>
      <c r="P51" s="7">
        <f>IF(COUNTIF($J$2:$J$1201,J51)&gt;1,"DUPLICATE","Unique")</f>
        <v/>
      </c>
      <c r="Q51" s="4">
        <f>IF(TRIM(Raw_Data!L51)="","Yes","No")</f>
        <v/>
      </c>
      <c r="R51" s="4">
        <f>IF(ISNUMBER(B51),"Valid","INVALID")</f>
        <v/>
      </c>
    </row>
    <row r="52">
      <c r="A52" s="4">
        <f>TRIM(Raw_Data!A52)</f>
        <v/>
      </c>
      <c r="B52" s="5">
        <f>Raw_Data!B52</f>
        <v/>
      </c>
      <c r="C52" s="4">
        <f>TRIM(Raw_Data!C52)</f>
        <v/>
      </c>
      <c r="D52" s="4">
        <f>PROPER(TRIM(Raw_Data!D52))</f>
        <v/>
      </c>
      <c r="E52" s="4">
        <f>Raw_Data!E52</f>
        <v/>
      </c>
      <c r="F52" s="6">
        <f>ROUND(Raw_Data!F52,2)</f>
        <v/>
      </c>
      <c r="G52" s="4">
        <f>PROPER(TRIM(Raw_Data!G52))</f>
        <v/>
      </c>
      <c r="H52" s="4">
        <f>PROPER(TRIM(Raw_Data!H52))</f>
        <v/>
      </c>
      <c r="I52" s="4">
        <f>PROPER(TRIM(Raw_Data!I52))</f>
        <v/>
      </c>
      <c r="J52" s="4">
        <f>TRIM(Raw_Data!J52)</f>
        <v/>
      </c>
      <c r="K52" s="4">
        <f>Raw_Data!K52</f>
        <v/>
      </c>
      <c r="L52" s="4">
        <f>IF(TRIM(Raw_Data!L52)="","No Coupon",TRIM(Raw_Data!L52))</f>
        <v/>
      </c>
      <c r="M52" s="4">
        <f>PROPER(TRIM(Raw_Data!M52))</f>
        <v/>
      </c>
      <c r="N52" s="6">
        <f>ROUND(Raw_Data!N52,2)</f>
        <v/>
      </c>
      <c r="O52" s="7">
        <f>IF(COUNTIF($A$2:$A$1201,A52)&gt;1,"DUPLICATE","Unique")</f>
        <v/>
      </c>
      <c r="P52" s="7">
        <f>IF(COUNTIF($J$2:$J$1201,J52)&gt;1,"DUPLICATE","Unique")</f>
        <v/>
      </c>
      <c r="Q52" s="4">
        <f>IF(TRIM(Raw_Data!L52)="","Yes","No")</f>
        <v/>
      </c>
      <c r="R52" s="4">
        <f>IF(ISNUMBER(B52),"Valid","INVALID")</f>
        <v/>
      </c>
    </row>
    <row r="53">
      <c r="A53" s="4">
        <f>TRIM(Raw_Data!A53)</f>
        <v/>
      </c>
      <c r="B53" s="5">
        <f>Raw_Data!B53</f>
        <v/>
      </c>
      <c r="C53" s="4">
        <f>TRIM(Raw_Data!C53)</f>
        <v/>
      </c>
      <c r="D53" s="4">
        <f>PROPER(TRIM(Raw_Data!D53))</f>
        <v/>
      </c>
      <c r="E53" s="4">
        <f>Raw_Data!E53</f>
        <v/>
      </c>
      <c r="F53" s="6">
        <f>ROUND(Raw_Data!F53,2)</f>
        <v/>
      </c>
      <c r="G53" s="4">
        <f>PROPER(TRIM(Raw_Data!G53))</f>
        <v/>
      </c>
      <c r="H53" s="4">
        <f>PROPER(TRIM(Raw_Data!H53))</f>
        <v/>
      </c>
      <c r="I53" s="4">
        <f>PROPER(TRIM(Raw_Data!I53))</f>
        <v/>
      </c>
      <c r="J53" s="4">
        <f>TRIM(Raw_Data!J53)</f>
        <v/>
      </c>
      <c r="K53" s="4">
        <f>Raw_Data!K53</f>
        <v/>
      </c>
      <c r="L53" s="4">
        <f>IF(TRIM(Raw_Data!L53)="","No Coupon",TRIM(Raw_Data!L53))</f>
        <v/>
      </c>
      <c r="M53" s="4">
        <f>PROPER(TRIM(Raw_Data!M53))</f>
        <v/>
      </c>
      <c r="N53" s="6">
        <f>ROUND(Raw_Data!N53,2)</f>
        <v/>
      </c>
      <c r="O53" s="7">
        <f>IF(COUNTIF($A$2:$A$1201,A53)&gt;1,"DUPLICATE","Unique")</f>
        <v/>
      </c>
      <c r="P53" s="7">
        <f>IF(COUNTIF($J$2:$J$1201,J53)&gt;1,"DUPLICATE","Unique")</f>
        <v/>
      </c>
      <c r="Q53" s="4">
        <f>IF(TRIM(Raw_Data!L53)="","Yes","No")</f>
        <v/>
      </c>
      <c r="R53" s="4">
        <f>IF(ISNUMBER(B53),"Valid","INVALID")</f>
        <v/>
      </c>
    </row>
    <row r="54">
      <c r="A54" s="4">
        <f>TRIM(Raw_Data!A54)</f>
        <v/>
      </c>
      <c r="B54" s="5">
        <f>Raw_Data!B54</f>
        <v/>
      </c>
      <c r="C54" s="4">
        <f>TRIM(Raw_Data!C54)</f>
        <v/>
      </c>
      <c r="D54" s="4">
        <f>PROPER(TRIM(Raw_Data!D54))</f>
        <v/>
      </c>
      <c r="E54" s="4">
        <f>Raw_Data!E54</f>
        <v/>
      </c>
      <c r="F54" s="6">
        <f>ROUND(Raw_Data!F54,2)</f>
        <v/>
      </c>
      <c r="G54" s="4">
        <f>PROPER(TRIM(Raw_Data!G54))</f>
        <v/>
      </c>
      <c r="H54" s="4">
        <f>PROPER(TRIM(Raw_Data!H54))</f>
        <v/>
      </c>
      <c r="I54" s="4">
        <f>PROPER(TRIM(Raw_Data!I54))</f>
        <v/>
      </c>
      <c r="J54" s="4">
        <f>TRIM(Raw_Data!J54)</f>
        <v/>
      </c>
      <c r="K54" s="4">
        <f>Raw_Data!K54</f>
        <v/>
      </c>
      <c r="L54" s="4">
        <f>IF(TRIM(Raw_Data!L54)="","No Coupon",TRIM(Raw_Data!L54))</f>
        <v/>
      </c>
      <c r="M54" s="4">
        <f>PROPER(TRIM(Raw_Data!M54))</f>
        <v/>
      </c>
      <c r="N54" s="6">
        <f>ROUND(Raw_Data!N54,2)</f>
        <v/>
      </c>
      <c r="O54" s="7">
        <f>IF(COUNTIF($A$2:$A$1201,A54)&gt;1,"DUPLICATE","Unique")</f>
        <v/>
      </c>
      <c r="P54" s="7">
        <f>IF(COUNTIF($J$2:$J$1201,J54)&gt;1,"DUPLICATE","Unique")</f>
        <v/>
      </c>
      <c r="Q54" s="4">
        <f>IF(TRIM(Raw_Data!L54)="","Yes","No")</f>
        <v/>
      </c>
      <c r="R54" s="4">
        <f>IF(ISNUMBER(B54),"Valid","INVALID")</f>
        <v/>
      </c>
    </row>
    <row r="55">
      <c r="A55" s="4">
        <f>TRIM(Raw_Data!A55)</f>
        <v/>
      </c>
      <c r="B55" s="5">
        <f>Raw_Data!B55</f>
        <v/>
      </c>
      <c r="C55" s="4">
        <f>TRIM(Raw_Data!C55)</f>
        <v/>
      </c>
      <c r="D55" s="4">
        <f>PROPER(TRIM(Raw_Data!D55))</f>
        <v/>
      </c>
      <c r="E55" s="4">
        <f>Raw_Data!E55</f>
        <v/>
      </c>
      <c r="F55" s="6">
        <f>ROUND(Raw_Data!F55,2)</f>
        <v/>
      </c>
      <c r="G55" s="4">
        <f>PROPER(TRIM(Raw_Data!G55))</f>
        <v/>
      </c>
      <c r="H55" s="4">
        <f>PROPER(TRIM(Raw_Data!H55))</f>
        <v/>
      </c>
      <c r="I55" s="4">
        <f>PROPER(TRIM(Raw_Data!I55))</f>
        <v/>
      </c>
      <c r="J55" s="4">
        <f>TRIM(Raw_Data!J55)</f>
        <v/>
      </c>
      <c r="K55" s="4">
        <f>Raw_Data!K55</f>
        <v/>
      </c>
      <c r="L55" s="4">
        <f>IF(TRIM(Raw_Data!L55)="","No Coupon",TRIM(Raw_Data!L55))</f>
        <v/>
      </c>
      <c r="M55" s="4">
        <f>PROPER(TRIM(Raw_Data!M55))</f>
        <v/>
      </c>
      <c r="N55" s="6">
        <f>ROUND(Raw_Data!N55,2)</f>
        <v/>
      </c>
      <c r="O55" s="7">
        <f>IF(COUNTIF($A$2:$A$1201,A55)&gt;1,"DUPLICATE","Unique")</f>
        <v/>
      </c>
      <c r="P55" s="7">
        <f>IF(COUNTIF($J$2:$J$1201,J55)&gt;1,"DUPLICATE","Unique")</f>
        <v/>
      </c>
      <c r="Q55" s="4">
        <f>IF(TRIM(Raw_Data!L55)="","Yes","No")</f>
        <v/>
      </c>
      <c r="R55" s="4">
        <f>IF(ISNUMBER(B55),"Valid","INVALID")</f>
        <v/>
      </c>
    </row>
    <row r="56">
      <c r="A56" s="4">
        <f>TRIM(Raw_Data!A56)</f>
        <v/>
      </c>
      <c r="B56" s="5">
        <f>Raw_Data!B56</f>
        <v/>
      </c>
      <c r="C56" s="4">
        <f>TRIM(Raw_Data!C56)</f>
        <v/>
      </c>
      <c r="D56" s="4">
        <f>PROPER(TRIM(Raw_Data!D56))</f>
        <v/>
      </c>
      <c r="E56" s="4">
        <f>Raw_Data!E56</f>
        <v/>
      </c>
      <c r="F56" s="6">
        <f>ROUND(Raw_Data!F56,2)</f>
        <v/>
      </c>
      <c r="G56" s="4">
        <f>PROPER(TRIM(Raw_Data!G56))</f>
        <v/>
      </c>
      <c r="H56" s="4">
        <f>PROPER(TRIM(Raw_Data!H56))</f>
        <v/>
      </c>
      <c r="I56" s="4">
        <f>PROPER(TRIM(Raw_Data!I56))</f>
        <v/>
      </c>
      <c r="J56" s="4">
        <f>TRIM(Raw_Data!J56)</f>
        <v/>
      </c>
      <c r="K56" s="4">
        <f>Raw_Data!K56</f>
        <v/>
      </c>
      <c r="L56" s="4">
        <f>IF(TRIM(Raw_Data!L56)="","No Coupon",TRIM(Raw_Data!L56))</f>
        <v/>
      </c>
      <c r="M56" s="4">
        <f>PROPER(TRIM(Raw_Data!M56))</f>
        <v/>
      </c>
      <c r="N56" s="6">
        <f>ROUND(Raw_Data!N56,2)</f>
        <v/>
      </c>
      <c r="O56" s="7">
        <f>IF(COUNTIF($A$2:$A$1201,A56)&gt;1,"DUPLICATE","Unique")</f>
        <v/>
      </c>
      <c r="P56" s="7">
        <f>IF(COUNTIF($J$2:$J$1201,J56)&gt;1,"DUPLICATE","Unique")</f>
        <v/>
      </c>
      <c r="Q56" s="4">
        <f>IF(TRIM(Raw_Data!L56)="","Yes","No")</f>
        <v/>
      </c>
      <c r="R56" s="4">
        <f>IF(ISNUMBER(B56),"Valid","INVALID")</f>
        <v/>
      </c>
    </row>
    <row r="57">
      <c r="A57" s="4">
        <f>TRIM(Raw_Data!A57)</f>
        <v/>
      </c>
      <c r="B57" s="5">
        <f>Raw_Data!B57</f>
        <v/>
      </c>
      <c r="C57" s="4">
        <f>TRIM(Raw_Data!C57)</f>
        <v/>
      </c>
      <c r="D57" s="4">
        <f>PROPER(TRIM(Raw_Data!D57))</f>
        <v/>
      </c>
      <c r="E57" s="4">
        <f>Raw_Data!E57</f>
        <v/>
      </c>
      <c r="F57" s="6">
        <f>ROUND(Raw_Data!F57,2)</f>
        <v/>
      </c>
      <c r="G57" s="4">
        <f>PROPER(TRIM(Raw_Data!G57))</f>
        <v/>
      </c>
      <c r="H57" s="4">
        <f>PROPER(TRIM(Raw_Data!H57))</f>
        <v/>
      </c>
      <c r="I57" s="4">
        <f>PROPER(TRIM(Raw_Data!I57))</f>
        <v/>
      </c>
      <c r="J57" s="4">
        <f>TRIM(Raw_Data!J57)</f>
        <v/>
      </c>
      <c r="K57" s="4">
        <f>Raw_Data!K57</f>
        <v/>
      </c>
      <c r="L57" s="4">
        <f>IF(TRIM(Raw_Data!L57)="","No Coupon",TRIM(Raw_Data!L57))</f>
        <v/>
      </c>
      <c r="M57" s="4">
        <f>PROPER(TRIM(Raw_Data!M57))</f>
        <v/>
      </c>
      <c r="N57" s="6">
        <f>ROUND(Raw_Data!N57,2)</f>
        <v/>
      </c>
      <c r="O57" s="7">
        <f>IF(COUNTIF($A$2:$A$1201,A57)&gt;1,"DUPLICATE","Unique")</f>
        <v/>
      </c>
      <c r="P57" s="7">
        <f>IF(COUNTIF($J$2:$J$1201,J57)&gt;1,"DUPLICATE","Unique")</f>
        <v/>
      </c>
      <c r="Q57" s="4">
        <f>IF(TRIM(Raw_Data!L57)="","Yes","No")</f>
        <v/>
      </c>
      <c r="R57" s="4">
        <f>IF(ISNUMBER(B57),"Valid","INVALID")</f>
        <v/>
      </c>
    </row>
    <row r="58">
      <c r="A58" s="4">
        <f>TRIM(Raw_Data!A58)</f>
        <v/>
      </c>
      <c r="B58" s="5">
        <f>Raw_Data!B58</f>
        <v/>
      </c>
      <c r="C58" s="4">
        <f>TRIM(Raw_Data!C58)</f>
        <v/>
      </c>
      <c r="D58" s="4">
        <f>PROPER(TRIM(Raw_Data!D58))</f>
        <v/>
      </c>
      <c r="E58" s="4">
        <f>Raw_Data!E58</f>
        <v/>
      </c>
      <c r="F58" s="6">
        <f>ROUND(Raw_Data!F58,2)</f>
        <v/>
      </c>
      <c r="G58" s="4">
        <f>PROPER(TRIM(Raw_Data!G58))</f>
        <v/>
      </c>
      <c r="H58" s="4">
        <f>PROPER(TRIM(Raw_Data!H58))</f>
        <v/>
      </c>
      <c r="I58" s="4">
        <f>PROPER(TRIM(Raw_Data!I58))</f>
        <v/>
      </c>
      <c r="J58" s="4">
        <f>TRIM(Raw_Data!J58)</f>
        <v/>
      </c>
      <c r="K58" s="4">
        <f>Raw_Data!K58</f>
        <v/>
      </c>
      <c r="L58" s="4">
        <f>IF(TRIM(Raw_Data!L58)="","No Coupon",TRIM(Raw_Data!L58))</f>
        <v/>
      </c>
      <c r="M58" s="4">
        <f>PROPER(TRIM(Raw_Data!M58))</f>
        <v/>
      </c>
      <c r="N58" s="6">
        <f>ROUND(Raw_Data!N58,2)</f>
        <v/>
      </c>
      <c r="O58" s="7">
        <f>IF(COUNTIF($A$2:$A$1201,A58)&gt;1,"DUPLICATE","Unique")</f>
        <v/>
      </c>
      <c r="P58" s="7">
        <f>IF(COUNTIF($J$2:$J$1201,J58)&gt;1,"DUPLICATE","Unique")</f>
        <v/>
      </c>
      <c r="Q58" s="4">
        <f>IF(TRIM(Raw_Data!L58)="","Yes","No")</f>
        <v/>
      </c>
      <c r="R58" s="4">
        <f>IF(ISNUMBER(B58),"Valid","INVALID")</f>
        <v/>
      </c>
    </row>
    <row r="59">
      <c r="A59" s="4">
        <f>TRIM(Raw_Data!A59)</f>
        <v/>
      </c>
      <c r="B59" s="5">
        <f>Raw_Data!B59</f>
        <v/>
      </c>
      <c r="C59" s="4">
        <f>TRIM(Raw_Data!C59)</f>
        <v/>
      </c>
      <c r="D59" s="4">
        <f>PROPER(TRIM(Raw_Data!D59))</f>
        <v/>
      </c>
      <c r="E59" s="4">
        <f>Raw_Data!E59</f>
        <v/>
      </c>
      <c r="F59" s="6">
        <f>ROUND(Raw_Data!F59,2)</f>
        <v/>
      </c>
      <c r="G59" s="4">
        <f>PROPER(TRIM(Raw_Data!G59))</f>
        <v/>
      </c>
      <c r="H59" s="4">
        <f>PROPER(TRIM(Raw_Data!H59))</f>
        <v/>
      </c>
      <c r="I59" s="4">
        <f>PROPER(TRIM(Raw_Data!I59))</f>
        <v/>
      </c>
      <c r="J59" s="4">
        <f>TRIM(Raw_Data!J59)</f>
        <v/>
      </c>
      <c r="K59" s="4">
        <f>Raw_Data!K59</f>
        <v/>
      </c>
      <c r="L59" s="4">
        <f>IF(TRIM(Raw_Data!L59)="","No Coupon",TRIM(Raw_Data!L59))</f>
        <v/>
      </c>
      <c r="M59" s="4">
        <f>PROPER(TRIM(Raw_Data!M59))</f>
        <v/>
      </c>
      <c r="N59" s="6">
        <f>ROUND(Raw_Data!N59,2)</f>
        <v/>
      </c>
      <c r="O59" s="7">
        <f>IF(COUNTIF($A$2:$A$1201,A59)&gt;1,"DUPLICATE","Unique")</f>
        <v/>
      </c>
      <c r="P59" s="7">
        <f>IF(COUNTIF($J$2:$J$1201,J59)&gt;1,"DUPLICATE","Unique")</f>
        <v/>
      </c>
      <c r="Q59" s="4">
        <f>IF(TRIM(Raw_Data!L59)="","Yes","No")</f>
        <v/>
      </c>
      <c r="R59" s="4">
        <f>IF(ISNUMBER(B59),"Valid","INVALID")</f>
        <v/>
      </c>
    </row>
    <row r="60">
      <c r="A60" s="4">
        <f>TRIM(Raw_Data!A60)</f>
        <v/>
      </c>
      <c r="B60" s="5">
        <f>Raw_Data!B60</f>
        <v/>
      </c>
      <c r="C60" s="4">
        <f>TRIM(Raw_Data!C60)</f>
        <v/>
      </c>
      <c r="D60" s="4">
        <f>PROPER(TRIM(Raw_Data!D60))</f>
        <v/>
      </c>
      <c r="E60" s="4">
        <f>Raw_Data!E60</f>
        <v/>
      </c>
      <c r="F60" s="6">
        <f>ROUND(Raw_Data!F60,2)</f>
        <v/>
      </c>
      <c r="G60" s="4">
        <f>PROPER(TRIM(Raw_Data!G60))</f>
        <v/>
      </c>
      <c r="H60" s="4">
        <f>PROPER(TRIM(Raw_Data!H60))</f>
        <v/>
      </c>
      <c r="I60" s="4">
        <f>PROPER(TRIM(Raw_Data!I60))</f>
        <v/>
      </c>
      <c r="J60" s="4">
        <f>TRIM(Raw_Data!J60)</f>
        <v/>
      </c>
      <c r="K60" s="4">
        <f>Raw_Data!K60</f>
        <v/>
      </c>
      <c r="L60" s="4">
        <f>IF(TRIM(Raw_Data!L60)="","No Coupon",TRIM(Raw_Data!L60))</f>
        <v/>
      </c>
      <c r="M60" s="4">
        <f>PROPER(TRIM(Raw_Data!M60))</f>
        <v/>
      </c>
      <c r="N60" s="6">
        <f>ROUND(Raw_Data!N60,2)</f>
        <v/>
      </c>
      <c r="O60" s="7">
        <f>IF(COUNTIF($A$2:$A$1201,A60)&gt;1,"DUPLICATE","Unique")</f>
        <v/>
      </c>
      <c r="P60" s="7">
        <f>IF(COUNTIF($J$2:$J$1201,J60)&gt;1,"DUPLICATE","Unique")</f>
        <v/>
      </c>
      <c r="Q60" s="4">
        <f>IF(TRIM(Raw_Data!L60)="","Yes","No")</f>
        <v/>
      </c>
      <c r="R60" s="4">
        <f>IF(ISNUMBER(B60),"Valid","INVALID")</f>
        <v/>
      </c>
    </row>
    <row r="61">
      <c r="A61" s="4">
        <f>TRIM(Raw_Data!A61)</f>
        <v/>
      </c>
      <c r="B61" s="5">
        <f>Raw_Data!B61</f>
        <v/>
      </c>
      <c r="C61" s="4">
        <f>TRIM(Raw_Data!C61)</f>
        <v/>
      </c>
      <c r="D61" s="4">
        <f>PROPER(TRIM(Raw_Data!D61))</f>
        <v/>
      </c>
      <c r="E61" s="4">
        <f>Raw_Data!E61</f>
        <v/>
      </c>
      <c r="F61" s="6">
        <f>ROUND(Raw_Data!F61,2)</f>
        <v/>
      </c>
      <c r="G61" s="4">
        <f>PROPER(TRIM(Raw_Data!G61))</f>
        <v/>
      </c>
      <c r="H61" s="4">
        <f>PROPER(TRIM(Raw_Data!H61))</f>
        <v/>
      </c>
      <c r="I61" s="4">
        <f>PROPER(TRIM(Raw_Data!I61))</f>
        <v/>
      </c>
      <c r="J61" s="4">
        <f>TRIM(Raw_Data!J61)</f>
        <v/>
      </c>
      <c r="K61" s="4">
        <f>Raw_Data!K61</f>
        <v/>
      </c>
      <c r="L61" s="4">
        <f>IF(TRIM(Raw_Data!L61)="","No Coupon",TRIM(Raw_Data!L61))</f>
        <v/>
      </c>
      <c r="M61" s="4">
        <f>PROPER(TRIM(Raw_Data!M61))</f>
        <v/>
      </c>
      <c r="N61" s="6">
        <f>ROUND(Raw_Data!N61,2)</f>
        <v/>
      </c>
      <c r="O61" s="7">
        <f>IF(COUNTIF($A$2:$A$1201,A61)&gt;1,"DUPLICATE","Unique")</f>
        <v/>
      </c>
      <c r="P61" s="7">
        <f>IF(COUNTIF($J$2:$J$1201,J61)&gt;1,"DUPLICATE","Unique")</f>
        <v/>
      </c>
      <c r="Q61" s="4">
        <f>IF(TRIM(Raw_Data!L61)="","Yes","No")</f>
        <v/>
      </c>
      <c r="R61" s="4">
        <f>IF(ISNUMBER(B61),"Valid","INVALID")</f>
        <v/>
      </c>
    </row>
    <row r="62">
      <c r="A62" s="4">
        <f>TRIM(Raw_Data!A62)</f>
        <v/>
      </c>
      <c r="B62" s="5">
        <f>Raw_Data!B62</f>
        <v/>
      </c>
      <c r="C62" s="4">
        <f>TRIM(Raw_Data!C62)</f>
        <v/>
      </c>
      <c r="D62" s="4">
        <f>PROPER(TRIM(Raw_Data!D62))</f>
        <v/>
      </c>
      <c r="E62" s="4">
        <f>Raw_Data!E62</f>
        <v/>
      </c>
      <c r="F62" s="6">
        <f>ROUND(Raw_Data!F62,2)</f>
        <v/>
      </c>
      <c r="G62" s="4">
        <f>PROPER(TRIM(Raw_Data!G62))</f>
        <v/>
      </c>
      <c r="H62" s="4">
        <f>PROPER(TRIM(Raw_Data!H62))</f>
        <v/>
      </c>
      <c r="I62" s="4">
        <f>PROPER(TRIM(Raw_Data!I62))</f>
        <v/>
      </c>
      <c r="J62" s="4">
        <f>TRIM(Raw_Data!J62)</f>
        <v/>
      </c>
      <c r="K62" s="4">
        <f>Raw_Data!K62</f>
        <v/>
      </c>
      <c r="L62" s="4">
        <f>IF(TRIM(Raw_Data!L62)="","No Coupon",TRIM(Raw_Data!L62))</f>
        <v/>
      </c>
      <c r="M62" s="4">
        <f>PROPER(TRIM(Raw_Data!M62))</f>
        <v/>
      </c>
      <c r="N62" s="6">
        <f>ROUND(Raw_Data!N62,2)</f>
        <v/>
      </c>
      <c r="O62" s="7">
        <f>IF(COUNTIF($A$2:$A$1201,A62)&gt;1,"DUPLICATE","Unique")</f>
        <v/>
      </c>
      <c r="P62" s="7">
        <f>IF(COUNTIF($J$2:$J$1201,J62)&gt;1,"DUPLICATE","Unique")</f>
        <v/>
      </c>
      <c r="Q62" s="4">
        <f>IF(TRIM(Raw_Data!L62)="","Yes","No")</f>
        <v/>
      </c>
      <c r="R62" s="4">
        <f>IF(ISNUMBER(B62),"Valid","INVALID")</f>
        <v/>
      </c>
    </row>
    <row r="63">
      <c r="A63" s="4">
        <f>TRIM(Raw_Data!A63)</f>
        <v/>
      </c>
      <c r="B63" s="5">
        <f>Raw_Data!B63</f>
        <v/>
      </c>
      <c r="C63" s="4">
        <f>TRIM(Raw_Data!C63)</f>
        <v/>
      </c>
      <c r="D63" s="4">
        <f>PROPER(TRIM(Raw_Data!D63))</f>
        <v/>
      </c>
      <c r="E63" s="4">
        <f>Raw_Data!E63</f>
        <v/>
      </c>
      <c r="F63" s="6">
        <f>ROUND(Raw_Data!F63,2)</f>
        <v/>
      </c>
      <c r="G63" s="4">
        <f>PROPER(TRIM(Raw_Data!G63))</f>
        <v/>
      </c>
      <c r="H63" s="4">
        <f>PROPER(TRIM(Raw_Data!H63))</f>
        <v/>
      </c>
      <c r="I63" s="4">
        <f>PROPER(TRIM(Raw_Data!I63))</f>
        <v/>
      </c>
      <c r="J63" s="4">
        <f>TRIM(Raw_Data!J63)</f>
        <v/>
      </c>
      <c r="K63" s="4">
        <f>Raw_Data!K63</f>
        <v/>
      </c>
      <c r="L63" s="4">
        <f>IF(TRIM(Raw_Data!L63)="","No Coupon",TRIM(Raw_Data!L63))</f>
        <v/>
      </c>
      <c r="M63" s="4">
        <f>PROPER(TRIM(Raw_Data!M63))</f>
        <v/>
      </c>
      <c r="N63" s="6">
        <f>ROUND(Raw_Data!N63,2)</f>
        <v/>
      </c>
      <c r="O63" s="7">
        <f>IF(COUNTIF($A$2:$A$1201,A63)&gt;1,"DUPLICATE","Unique")</f>
        <v/>
      </c>
      <c r="P63" s="7">
        <f>IF(COUNTIF($J$2:$J$1201,J63)&gt;1,"DUPLICATE","Unique")</f>
        <v/>
      </c>
      <c r="Q63" s="4">
        <f>IF(TRIM(Raw_Data!L63)="","Yes","No")</f>
        <v/>
      </c>
      <c r="R63" s="4">
        <f>IF(ISNUMBER(B63),"Valid","INVALID")</f>
        <v/>
      </c>
    </row>
    <row r="64">
      <c r="A64" s="4">
        <f>TRIM(Raw_Data!A64)</f>
        <v/>
      </c>
      <c r="B64" s="5">
        <f>Raw_Data!B64</f>
        <v/>
      </c>
      <c r="C64" s="4">
        <f>TRIM(Raw_Data!C64)</f>
        <v/>
      </c>
      <c r="D64" s="4">
        <f>PROPER(TRIM(Raw_Data!D64))</f>
        <v/>
      </c>
      <c r="E64" s="4">
        <f>Raw_Data!E64</f>
        <v/>
      </c>
      <c r="F64" s="6">
        <f>ROUND(Raw_Data!F64,2)</f>
        <v/>
      </c>
      <c r="G64" s="4">
        <f>PROPER(TRIM(Raw_Data!G64))</f>
        <v/>
      </c>
      <c r="H64" s="4">
        <f>PROPER(TRIM(Raw_Data!H64))</f>
        <v/>
      </c>
      <c r="I64" s="4">
        <f>PROPER(TRIM(Raw_Data!I64))</f>
        <v/>
      </c>
      <c r="J64" s="4">
        <f>TRIM(Raw_Data!J64)</f>
        <v/>
      </c>
      <c r="K64" s="4">
        <f>Raw_Data!K64</f>
        <v/>
      </c>
      <c r="L64" s="4">
        <f>IF(TRIM(Raw_Data!L64)="","No Coupon",TRIM(Raw_Data!L64))</f>
        <v/>
      </c>
      <c r="M64" s="4">
        <f>PROPER(TRIM(Raw_Data!M64))</f>
        <v/>
      </c>
      <c r="N64" s="6">
        <f>ROUND(Raw_Data!N64,2)</f>
        <v/>
      </c>
      <c r="O64" s="7">
        <f>IF(COUNTIF($A$2:$A$1201,A64)&gt;1,"DUPLICATE","Unique")</f>
        <v/>
      </c>
      <c r="P64" s="7">
        <f>IF(COUNTIF($J$2:$J$1201,J64)&gt;1,"DUPLICATE","Unique")</f>
        <v/>
      </c>
      <c r="Q64" s="4">
        <f>IF(TRIM(Raw_Data!L64)="","Yes","No")</f>
        <v/>
      </c>
      <c r="R64" s="4">
        <f>IF(ISNUMBER(B64),"Valid","INVALID")</f>
        <v/>
      </c>
    </row>
    <row r="65">
      <c r="A65" s="4">
        <f>TRIM(Raw_Data!A65)</f>
        <v/>
      </c>
      <c r="B65" s="5">
        <f>Raw_Data!B65</f>
        <v/>
      </c>
      <c r="C65" s="4">
        <f>TRIM(Raw_Data!C65)</f>
        <v/>
      </c>
      <c r="D65" s="4">
        <f>PROPER(TRIM(Raw_Data!D65))</f>
        <v/>
      </c>
      <c r="E65" s="4">
        <f>Raw_Data!E65</f>
        <v/>
      </c>
      <c r="F65" s="6">
        <f>ROUND(Raw_Data!F65,2)</f>
        <v/>
      </c>
      <c r="G65" s="4">
        <f>PROPER(TRIM(Raw_Data!G65))</f>
        <v/>
      </c>
      <c r="H65" s="4">
        <f>PROPER(TRIM(Raw_Data!H65))</f>
        <v/>
      </c>
      <c r="I65" s="4">
        <f>PROPER(TRIM(Raw_Data!I65))</f>
        <v/>
      </c>
      <c r="J65" s="4">
        <f>TRIM(Raw_Data!J65)</f>
        <v/>
      </c>
      <c r="K65" s="4">
        <f>Raw_Data!K65</f>
        <v/>
      </c>
      <c r="L65" s="4">
        <f>IF(TRIM(Raw_Data!L65)="","No Coupon",TRIM(Raw_Data!L65))</f>
        <v/>
      </c>
      <c r="M65" s="4">
        <f>PROPER(TRIM(Raw_Data!M65))</f>
        <v/>
      </c>
      <c r="N65" s="6">
        <f>ROUND(Raw_Data!N65,2)</f>
        <v/>
      </c>
      <c r="O65" s="7">
        <f>IF(COUNTIF($A$2:$A$1201,A65)&gt;1,"DUPLICATE","Unique")</f>
        <v/>
      </c>
      <c r="P65" s="7">
        <f>IF(COUNTIF($J$2:$J$1201,J65)&gt;1,"DUPLICATE","Unique")</f>
        <v/>
      </c>
      <c r="Q65" s="4">
        <f>IF(TRIM(Raw_Data!L65)="","Yes","No")</f>
        <v/>
      </c>
      <c r="R65" s="4">
        <f>IF(ISNUMBER(B65),"Valid","INVALID")</f>
        <v/>
      </c>
    </row>
    <row r="66">
      <c r="A66" s="4">
        <f>TRIM(Raw_Data!A66)</f>
        <v/>
      </c>
      <c r="B66" s="5">
        <f>Raw_Data!B66</f>
        <v/>
      </c>
      <c r="C66" s="4">
        <f>TRIM(Raw_Data!C66)</f>
        <v/>
      </c>
      <c r="D66" s="4">
        <f>PROPER(TRIM(Raw_Data!D66))</f>
        <v/>
      </c>
      <c r="E66" s="4">
        <f>Raw_Data!E66</f>
        <v/>
      </c>
      <c r="F66" s="6">
        <f>ROUND(Raw_Data!F66,2)</f>
        <v/>
      </c>
      <c r="G66" s="4">
        <f>PROPER(TRIM(Raw_Data!G66))</f>
        <v/>
      </c>
      <c r="H66" s="4">
        <f>PROPER(TRIM(Raw_Data!H66))</f>
        <v/>
      </c>
      <c r="I66" s="4">
        <f>PROPER(TRIM(Raw_Data!I66))</f>
        <v/>
      </c>
      <c r="J66" s="4">
        <f>TRIM(Raw_Data!J66)</f>
        <v/>
      </c>
      <c r="K66" s="4">
        <f>Raw_Data!K66</f>
        <v/>
      </c>
      <c r="L66" s="4">
        <f>IF(TRIM(Raw_Data!L66)="","No Coupon",TRIM(Raw_Data!L66))</f>
        <v/>
      </c>
      <c r="M66" s="4">
        <f>PROPER(TRIM(Raw_Data!M66))</f>
        <v/>
      </c>
      <c r="N66" s="6">
        <f>ROUND(Raw_Data!N66,2)</f>
        <v/>
      </c>
      <c r="O66" s="7">
        <f>IF(COUNTIF($A$2:$A$1201,A66)&gt;1,"DUPLICATE","Unique")</f>
        <v/>
      </c>
      <c r="P66" s="7">
        <f>IF(COUNTIF($J$2:$J$1201,J66)&gt;1,"DUPLICATE","Unique")</f>
        <v/>
      </c>
      <c r="Q66" s="4">
        <f>IF(TRIM(Raw_Data!L66)="","Yes","No")</f>
        <v/>
      </c>
      <c r="R66" s="4">
        <f>IF(ISNUMBER(B66),"Valid","INVALID")</f>
        <v/>
      </c>
    </row>
    <row r="67">
      <c r="A67" s="4">
        <f>TRIM(Raw_Data!A67)</f>
        <v/>
      </c>
      <c r="B67" s="5">
        <f>Raw_Data!B67</f>
        <v/>
      </c>
      <c r="C67" s="4">
        <f>TRIM(Raw_Data!C67)</f>
        <v/>
      </c>
      <c r="D67" s="4">
        <f>PROPER(TRIM(Raw_Data!D67))</f>
        <v/>
      </c>
      <c r="E67" s="4">
        <f>Raw_Data!E67</f>
        <v/>
      </c>
      <c r="F67" s="6">
        <f>ROUND(Raw_Data!F67,2)</f>
        <v/>
      </c>
      <c r="G67" s="4">
        <f>PROPER(TRIM(Raw_Data!G67))</f>
        <v/>
      </c>
      <c r="H67" s="4">
        <f>PROPER(TRIM(Raw_Data!H67))</f>
        <v/>
      </c>
      <c r="I67" s="4">
        <f>PROPER(TRIM(Raw_Data!I67))</f>
        <v/>
      </c>
      <c r="J67" s="4">
        <f>TRIM(Raw_Data!J67)</f>
        <v/>
      </c>
      <c r="K67" s="4">
        <f>Raw_Data!K67</f>
        <v/>
      </c>
      <c r="L67" s="4">
        <f>IF(TRIM(Raw_Data!L67)="","No Coupon",TRIM(Raw_Data!L67))</f>
        <v/>
      </c>
      <c r="M67" s="4">
        <f>PROPER(TRIM(Raw_Data!M67))</f>
        <v/>
      </c>
      <c r="N67" s="6">
        <f>ROUND(Raw_Data!N67,2)</f>
        <v/>
      </c>
      <c r="O67" s="7">
        <f>IF(COUNTIF($A$2:$A$1201,A67)&gt;1,"DUPLICATE","Unique")</f>
        <v/>
      </c>
      <c r="P67" s="7">
        <f>IF(COUNTIF($J$2:$J$1201,J67)&gt;1,"DUPLICATE","Unique")</f>
        <v/>
      </c>
      <c r="Q67" s="4">
        <f>IF(TRIM(Raw_Data!L67)="","Yes","No")</f>
        <v/>
      </c>
      <c r="R67" s="4">
        <f>IF(ISNUMBER(B67),"Valid","INVALID")</f>
        <v/>
      </c>
    </row>
    <row r="68">
      <c r="A68" s="4">
        <f>TRIM(Raw_Data!A68)</f>
        <v/>
      </c>
      <c r="B68" s="5">
        <f>Raw_Data!B68</f>
        <v/>
      </c>
      <c r="C68" s="4">
        <f>TRIM(Raw_Data!C68)</f>
        <v/>
      </c>
      <c r="D68" s="4">
        <f>PROPER(TRIM(Raw_Data!D68))</f>
        <v/>
      </c>
      <c r="E68" s="4">
        <f>Raw_Data!E68</f>
        <v/>
      </c>
      <c r="F68" s="6">
        <f>ROUND(Raw_Data!F68,2)</f>
        <v/>
      </c>
      <c r="G68" s="4">
        <f>PROPER(TRIM(Raw_Data!G68))</f>
        <v/>
      </c>
      <c r="H68" s="4">
        <f>PROPER(TRIM(Raw_Data!H68))</f>
        <v/>
      </c>
      <c r="I68" s="4">
        <f>PROPER(TRIM(Raw_Data!I68))</f>
        <v/>
      </c>
      <c r="J68" s="4">
        <f>TRIM(Raw_Data!J68)</f>
        <v/>
      </c>
      <c r="K68" s="4">
        <f>Raw_Data!K68</f>
        <v/>
      </c>
      <c r="L68" s="4">
        <f>IF(TRIM(Raw_Data!L68)="","No Coupon",TRIM(Raw_Data!L68))</f>
        <v/>
      </c>
      <c r="M68" s="4">
        <f>PROPER(TRIM(Raw_Data!M68))</f>
        <v/>
      </c>
      <c r="N68" s="6">
        <f>ROUND(Raw_Data!N68,2)</f>
        <v/>
      </c>
      <c r="O68" s="7">
        <f>IF(COUNTIF($A$2:$A$1201,A68)&gt;1,"DUPLICATE","Unique")</f>
        <v/>
      </c>
      <c r="P68" s="7">
        <f>IF(COUNTIF($J$2:$J$1201,J68)&gt;1,"DUPLICATE","Unique")</f>
        <v/>
      </c>
      <c r="Q68" s="4">
        <f>IF(TRIM(Raw_Data!L68)="","Yes","No")</f>
        <v/>
      </c>
      <c r="R68" s="4">
        <f>IF(ISNUMBER(B68),"Valid","INVALID")</f>
        <v/>
      </c>
    </row>
    <row r="69">
      <c r="A69" s="4">
        <f>TRIM(Raw_Data!A69)</f>
        <v/>
      </c>
      <c r="B69" s="5">
        <f>Raw_Data!B69</f>
        <v/>
      </c>
      <c r="C69" s="4">
        <f>TRIM(Raw_Data!C69)</f>
        <v/>
      </c>
      <c r="D69" s="4">
        <f>PROPER(TRIM(Raw_Data!D69))</f>
        <v/>
      </c>
      <c r="E69" s="4">
        <f>Raw_Data!E69</f>
        <v/>
      </c>
      <c r="F69" s="6">
        <f>ROUND(Raw_Data!F69,2)</f>
        <v/>
      </c>
      <c r="G69" s="4">
        <f>PROPER(TRIM(Raw_Data!G69))</f>
        <v/>
      </c>
      <c r="H69" s="4">
        <f>PROPER(TRIM(Raw_Data!H69))</f>
        <v/>
      </c>
      <c r="I69" s="4">
        <f>PROPER(TRIM(Raw_Data!I69))</f>
        <v/>
      </c>
      <c r="J69" s="4">
        <f>TRIM(Raw_Data!J69)</f>
        <v/>
      </c>
      <c r="K69" s="4">
        <f>Raw_Data!K69</f>
        <v/>
      </c>
      <c r="L69" s="4">
        <f>IF(TRIM(Raw_Data!L69)="","No Coupon",TRIM(Raw_Data!L69))</f>
        <v/>
      </c>
      <c r="M69" s="4">
        <f>PROPER(TRIM(Raw_Data!M69))</f>
        <v/>
      </c>
      <c r="N69" s="6">
        <f>ROUND(Raw_Data!N69,2)</f>
        <v/>
      </c>
      <c r="O69" s="7">
        <f>IF(COUNTIF($A$2:$A$1201,A69)&gt;1,"DUPLICATE","Unique")</f>
        <v/>
      </c>
      <c r="P69" s="7">
        <f>IF(COUNTIF($J$2:$J$1201,J69)&gt;1,"DUPLICATE","Unique")</f>
        <v/>
      </c>
      <c r="Q69" s="4">
        <f>IF(TRIM(Raw_Data!L69)="","Yes","No")</f>
        <v/>
      </c>
      <c r="R69" s="4">
        <f>IF(ISNUMBER(B69),"Valid","INVALID")</f>
        <v/>
      </c>
    </row>
    <row r="70">
      <c r="A70" s="4">
        <f>TRIM(Raw_Data!A70)</f>
        <v/>
      </c>
      <c r="B70" s="5">
        <f>Raw_Data!B70</f>
        <v/>
      </c>
      <c r="C70" s="4">
        <f>TRIM(Raw_Data!C70)</f>
        <v/>
      </c>
      <c r="D70" s="4">
        <f>PROPER(TRIM(Raw_Data!D70))</f>
        <v/>
      </c>
      <c r="E70" s="4">
        <f>Raw_Data!E70</f>
        <v/>
      </c>
      <c r="F70" s="6">
        <f>ROUND(Raw_Data!F70,2)</f>
        <v/>
      </c>
      <c r="G70" s="4">
        <f>PROPER(TRIM(Raw_Data!G70))</f>
        <v/>
      </c>
      <c r="H70" s="4">
        <f>PROPER(TRIM(Raw_Data!H70))</f>
        <v/>
      </c>
      <c r="I70" s="4">
        <f>PROPER(TRIM(Raw_Data!I70))</f>
        <v/>
      </c>
      <c r="J70" s="4">
        <f>TRIM(Raw_Data!J70)</f>
        <v/>
      </c>
      <c r="K70" s="4">
        <f>Raw_Data!K70</f>
        <v/>
      </c>
      <c r="L70" s="4">
        <f>IF(TRIM(Raw_Data!L70)="","No Coupon",TRIM(Raw_Data!L70))</f>
        <v/>
      </c>
      <c r="M70" s="4">
        <f>PROPER(TRIM(Raw_Data!M70))</f>
        <v/>
      </c>
      <c r="N70" s="6">
        <f>ROUND(Raw_Data!N70,2)</f>
        <v/>
      </c>
      <c r="O70" s="7">
        <f>IF(COUNTIF($A$2:$A$1201,A70)&gt;1,"DUPLICATE","Unique")</f>
        <v/>
      </c>
      <c r="P70" s="7">
        <f>IF(COUNTIF($J$2:$J$1201,J70)&gt;1,"DUPLICATE","Unique")</f>
        <v/>
      </c>
      <c r="Q70" s="4">
        <f>IF(TRIM(Raw_Data!L70)="","Yes","No")</f>
        <v/>
      </c>
      <c r="R70" s="4">
        <f>IF(ISNUMBER(B70),"Valid","INVALID")</f>
        <v/>
      </c>
    </row>
    <row r="71">
      <c r="A71" s="4">
        <f>TRIM(Raw_Data!A71)</f>
        <v/>
      </c>
      <c r="B71" s="5">
        <f>Raw_Data!B71</f>
        <v/>
      </c>
      <c r="C71" s="4">
        <f>TRIM(Raw_Data!C71)</f>
        <v/>
      </c>
      <c r="D71" s="4">
        <f>PROPER(TRIM(Raw_Data!D71))</f>
        <v/>
      </c>
      <c r="E71" s="4">
        <f>Raw_Data!E71</f>
        <v/>
      </c>
      <c r="F71" s="6">
        <f>ROUND(Raw_Data!F71,2)</f>
        <v/>
      </c>
      <c r="G71" s="4">
        <f>PROPER(TRIM(Raw_Data!G71))</f>
        <v/>
      </c>
      <c r="H71" s="4">
        <f>PROPER(TRIM(Raw_Data!H71))</f>
        <v/>
      </c>
      <c r="I71" s="4">
        <f>PROPER(TRIM(Raw_Data!I71))</f>
        <v/>
      </c>
      <c r="J71" s="4">
        <f>TRIM(Raw_Data!J71)</f>
        <v/>
      </c>
      <c r="K71" s="4">
        <f>Raw_Data!K71</f>
        <v/>
      </c>
      <c r="L71" s="4">
        <f>IF(TRIM(Raw_Data!L71)="","No Coupon",TRIM(Raw_Data!L71))</f>
        <v/>
      </c>
      <c r="M71" s="4">
        <f>PROPER(TRIM(Raw_Data!M71))</f>
        <v/>
      </c>
      <c r="N71" s="6">
        <f>ROUND(Raw_Data!N71,2)</f>
        <v/>
      </c>
      <c r="O71" s="7">
        <f>IF(COUNTIF($A$2:$A$1201,A71)&gt;1,"DUPLICATE","Unique")</f>
        <v/>
      </c>
      <c r="P71" s="7">
        <f>IF(COUNTIF($J$2:$J$1201,J71)&gt;1,"DUPLICATE","Unique")</f>
        <v/>
      </c>
      <c r="Q71" s="4">
        <f>IF(TRIM(Raw_Data!L71)="","Yes","No")</f>
        <v/>
      </c>
      <c r="R71" s="4">
        <f>IF(ISNUMBER(B71),"Valid","INVALID")</f>
        <v/>
      </c>
    </row>
    <row r="72">
      <c r="A72" s="4">
        <f>TRIM(Raw_Data!A72)</f>
        <v/>
      </c>
      <c r="B72" s="5">
        <f>Raw_Data!B72</f>
        <v/>
      </c>
      <c r="C72" s="4">
        <f>TRIM(Raw_Data!C72)</f>
        <v/>
      </c>
      <c r="D72" s="4">
        <f>PROPER(TRIM(Raw_Data!D72))</f>
        <v/>
      </c>
      <c r="E72" s="4">
        <f>Raw_Data!E72</f>
        <v/>
      </c>
      <c r="F72" s="6">
        <f>ROUND(Raw_Data!F72,2)</f>
        <v/>
      </c>
      <c r="G72" s="4">
        <f>PROPER(TRIM(Raw_Data!G72))</f>
        <v/>
      </c>
      <c r="H72" s="4">
        <f>PROPER(TRIM(Raw_Data!H72))</f>
        <v/>
      </c>
      <c r="I72" s="4">
        <f>PROPER(TRIM(Raw_Data!I72))</f>
        <v/>
      </c>
      <c r="J72" s="4">
        <f>TRIM(Raw_Data!J72)</f>
        <v/>
      </c>
      <c r="K72" s="4">
        <f>Raw_Data!K72</f>
        <v/>
      </c>
      <c r="L72" s="4">
        <f>IF(TRIM(Raw_Data!L72)="","No Coupon",TRIM(Raw_Data!L72))</f>
        <v/>
      </c>
      <c r="M72" s="4">
        <f>PROPER(TRIM(Raw_Data!M72))</f>
        <v/>
      </c>
      <c r="N72" s="6">
        <f>ROUND(Raw_Data!N72,2)</f>
        <v/>
      </c>
      <c r="O72" s="7">
        <f>IF(COUNTIF($A$2:$A$1201,A72)&gt;1,"DUPLICATE","Unique")</f>
        <v/>
      </c>
      <c r="P72" s="7">
        <f>IF(COUNTIF($J$2:$J$1201,J72)&gt;1,"DUPLICATE","Unique")</f>
        <v/>
      </c>
      <c r="Q72" s="4">
        <f>IF(TRIM(Raw_Data!L72)="","Yes","No")</f>
        <v/>
      </c>
      <c r="R72" s="4">
        <f>IF(ISNUMBER(B72),"Valid","INVALID")</f>
        <v/>
      </c>
    </row>
    <row r="73">
      <c r="A73" s="4">
        <f>TRIM(Raw_Data!A73)</f>
        <v/>
      </c>
      <c r="B73" s="5">
        <f>Raw_Data!B73</f>
        <v/>
      </c>
      <c r="C73" s="4">
        <f>TRIM(Raw_Data!C73)</f>
        <v/>
      </c>
      <c r="D73" s="4">
        <f>PROPER(TRIM(Raw_Data!D73))</f>
        <v/>
      </c>
      <c r="E73" s="4">
        <f>Raw_Data!E73</f>
        <v/>
      </c>
      <c r="F73" s="6">
        <f>ROUND(Raw_Data!F73,2)</f>
        <v/>
      </c>
      <c r="G73" s="4">
        <f>PROPER(TRIM(Raw_Data!G73))</f>
        <v/>
      </c>
      <c r="H73" s="4">
        <f>PROPER(TRIM(Raw_Data!H73))</f>
        <v/>
      </c>
      <c r="I73" s="4">
        <f>PROPER(TRIM(Raw_Data!I73))</f>
        <v/>
      </c>
      <c r="J73" s="4">
        <f>TRIM(Raw_Data!J73)</f>
        <v/>
      </c>
      <c r="K73" s="4">
        <f>Raw_Data!K73</f>
        <v/>
      </c>
      <c r="L73" s="4">
        <f>IF(TRIM(Raw_Data!L73)="","No Coupon",TRIM(Raw_Data!L73))</f>
        <v/>
      </c>
      <c r="M73" s="4">
        <f>PROPER(TRIM(Raw_Data!M73))</f>
        <v/>
      </c>
      <c r="N73" s="6">
        <f>ROUND(Raw_Data!N73,2)</f>
        <v/>
      </c>
      <c r="O73" s="7">
        <f>IF(COUNTIF($A$2:$A$1201,A73)&gt;1,"DUPLICATE","Unique")</f>
        <v/>
      </c>
      <c r="P73" s="7">
        <f>IF(COUNTIF($J$2:$J$1201,J73)&gt;1,"DUPLICATE","Unique")</f>
        <v/>
      </c>
      <c r="Q73" s="4">
        <f>IF(TRIM(Raw_Data!L73)="","Yes","No")</f>
        <v/>
      </c>
      <c r="R73" s="4">
        <f>IF(ISNUMBER(B73),"Valid","INVALID")</f>
        <v/>
      </c>
    </row>
    <row r="74">
      <c r="A74" s="4">
        <f>TRIM(Raw_Data!A74)</f>
        <v/>
      </c>
      <c r="B74" s="5">
        <f>Raw_Data!B74</f>
        <v/>
      </c>
      <c r="C74" s="4">
        <f>TRIM(Raw_Data!C74)</f>
        <v/>
      </c>
      <c r="D74" s="4">
        <f>PROPER(TRIM(Raw_Data!D74))</f>
        <v/>
      </c>
      <c r="E74" s="4">
        <f>Raw_Data!E74</f>
        <v/>
      </c>
      <c r="F74" s="6">
        <f>ROUND(Raw_Data!F74,2)</f>
        <v/>
      </c>
      <c r="G74" s="4">
        <f>PROPER(TRIM(Raw_Data!G74))</f>
        <v/>
      </c>
      <c r="H74" s="4">
        <f>PROPER(TRIM(Raw_Data!H74))</f>
        <v/>
      </c>
      <c r="I74" s="4">
        <f>PROPER(TRIM(Raw_Data!I74))</f>
        <v/>
      </c>
      <c r="J74" s="4">
        <f>TRIM(Raw_Data!J74)</f>
        <v/>
      </c>
      <c r="K74" s="4">
        <f>Raw_Data!K74</f>
        <v/>
      </c>
      <c r="L74" s="4">
        <f>IF(TRIM(Raw_Data!L74)="","No Coupon",TRIM(Raw_Data!L74))</f>
        <v/>
      </c>
      <c r="M74" s="4">
        <f>PROPER(TRIM(Raw_Data!M74))</f>
        <v/>
      </c>
      <c r="N74" s="6">
        <f>ROUND(Raw_Data!N74,2)</f>
        <v/>
      </c>
      <c r="O74" s="7">
        <f>IF(COUNTIF($A$2:$A$1201,A74)&gt;1,"DUPLICATE","Unique")</f>
        <v/>
      </c>
      <c r="P74" s="7">
        <f>IF(COUNTIF($J$2:$J$1201,J74)&gt;1,"DUPLICATE","Unique")</f>
        <v/>
      </c>
      <c r="Q74" s="4">
        <f>IF(TRIM(Raw_Data!L74)="","Yes","No")</f>
        <v/>
      </c>
      <c r="R74" s="4">
        <f>IF(ISNUMBER(B74),"Valid","INVALID")</f>
        <v/>
      </c>
    </row>
    <row r="75">
      <c r="A75" s="4">
        <f>TRIM(Raw_Data!A75)</f>
        <v/>
      </c>
      <c r="B75" s="5">
        <f>Raw_Data!B75</f>
        <v/>
      </c>
      <c r="C75" s="4">
        <f>TRIM(Raw_Data!C75)</f>
        <v/>
      </c>
      <c r="D75" s="4">
        <f>PROPER(TRIM(Raw_Data!D75))</f>
        <v/>
      </c>
      <c r="E75" s="4">
        <f>Raw_Data!E75</f>
        <v/>
      </c>
      <c r="F75" s="6">
        <f>ROUND(Raw_Data!F75,2)</f>
        <v/>
      </c>
      <c r="G75" s="4">
        <f>PROPER(TRIM(Raw_Data!G75))</f>
        <v/>
      </c>
      <c r="H75" s="4">
        <f>PROPER(TRIM(Raw_Data!H75))</f>
        <v/>
      </c>
      <c r="I75" s="4">
        <f>PROPER(TRIM(Raw_Data!I75))</f>
        <v/>
      </c>
      <c r="J75" s="4">
        <f>TRIM(Raw_Data!J75)</f>
        <v/>
      </c>
      <c r="K75" s="4">
        <f>Raw_Data!K75</f>
        <v/>
      </c>
      <c r="L75" s="4">
        <f>IF(TRIM(Raw_Data!L75)="","No Coupon",TRIM(Raw_Data!L75))</f>
        <v/>
      </c>
      <c r="M75" s="4">
        <f>PROPER(TRIM(Raw_Data!M75))</f>
        <v/>
      </c>
      <c r="N75" s="6">
        <f>ROUND(Raw_Data!N75,2)</f>
        <v/>
      </c>
      <c r="O75" s="7">
        <f>IF(COUNTIF($A$2:$A$1201,A75)&gt;1,"DUPLICATE","Unique")</f>
        <v/>
      </c>
      <c r="P75" s="7">
        <f>IF(COUNTIF($J$2:$J$1201,J75)&gt;1,"DUPLICATE","Unique")</f>
        <v/>
      </c>
      <c r="Q75" s="4">
        <f>IF(TRIM(Raw_Data!L75)="","Yes","No")</f>
        <v/>
      </c>
      <c r="R75" s="4">
        <f>IF(ISNUMBER(B75),"Valid","INVALID")</f>
        <v/>
      </c>
    </row>
    <row r="76">
      <c r="A76" s="4">
        <f>TRIM(Raw_Data!A76)</f>
        <v/>
      </c>
      <c r="B76" s="5">
        <f>Raw_Data!B76</f>
        <v/>
      </c>
      <c r="C76" s="4">
        <f>TRIM(Raw_Data!C76)</f>
        <v/>
      </c>
      <c r="D76" s="4">
        <f>PROPER(TRIM(Raw_Data!D76))</f>
        <v/>
      </c>
      <c r="E76" s="4">
        <f>Raw_Data!E76</f>
        <v/>
      </c>
      <c r="F76" s="6">
        <f>ROUND(Raw_Data!F76,2)</f>
        <v/>
      </c>
      <c r="G76" s="4">
        <f>PROPER(TRIM(Raw_Data!G76))</f>
        <v/>
      </c>
      <c r="H76" s="4">
        <f>PROPER(TRIM(Raw_Data!H76))</f>
        <v/>
      </c>
      <c r="I76" s="4">
        <f>PROPER(TRIM(Raw_Data!I76))</f>
        <v/>
      </c>
      <c r="J76" s="4">
        <f>TRIM(Raw_Data!J76)</f>
        <v/>
      </c>
      <c r="K76" s="4">
        <f>Raw_Data!K76</f>
        <v/>
      </c>
      <c r="L76" s="4">
        <f>IF(TRIM(Raw_Data!L76)="","No Coupon",TRIM(Raw_Data!L76))</f>
        <v/>
      </c>
      <c r="M76" s="4">
        <f>PROPER(TRIM(Raw_Data!M76))</f>
        <v/>
      </c>
      <c r="N76" s="6">
        <f>ROUND(Raw_Data!N76,2)</f>
        <v/>
      </c>
      <c r="O76" s="7">
        <f>IF(COUNTIF($A$2:$A$1201,A76)&gt;1,"DUPLICATE","Unique")</f>
        <v/>
      </c>
      <c r="P76" s="7">
        <f>IF(COUNTIF($J$2:$J$1201,J76)&gt;1,"DUPLICATE","Unique")</f>
        <v/>
      </c>
      <c r="Q76" s="4">
        <f>IF(TRIM(Raw_Data!L76)="","Yes","No")</f>
        <v/>
      </c>
      <c r="R76" s="4">
        <f>IF(ISNUMBER(B76),"Valid","INVALID")</f>
        <v/>
      </c>
    </row>
    <row r="77">
      <c r="A77" s="4">
        <f>TRIM(Raw_Data!A77)</f>
        <v/>
      </c>
      <c r="B77" s="5">
        <f>Raw_Data!B77</f>
        <v/>
      </c>
      <c r="C77" s="4">
        <f>TRIM(Raw_Data!C77)</f>
        <v/>
      </c>
      <c r="D77" s="4">
        <f>PROPER(TRIM(Raw_Data!D77))</f>
        <v/>
      </c>
      <c r="E77" s="4">
        <f>Raw_Data!E77</f>
        <v/>
      </c>
      <c r="F77" s="6">
        <f>ROUND(Raw_Data!F77,2)</f>
        <v/>
      </c>
      <c r="G77" s="4">
        <f>PROPER(TRIM(Raw_Data!G77))</f>
        <v/>
      </c>
      <c r="H77" s="4">
        <f>PROPER(TRIM(Raw_Data!H77))</f>
        <v/>
      </c>
      <c r="I77" s="4">
        <f>PROPER(TRIM(Raw_Data!I77))</f>
        <v/>
      </c>
      <c r="J77" s="4">
        <f>TRIM(Raw_Data!J77)</f>
        <v/>
      </c>
      <c r="K77" s="4">
        <f>Raw_Data!K77</f>
        <v/>
      </c>
      <c r="L77" s="4">
        <f>IF(TRIM(Raw_Data!L77)="","No Coupon",TRIM(Raw_Data!L77))</f>
        <v/>
      </c>
      <c r="M77" s="4">
        <f>PROPER(TRIM(Raw_Data!M77))</f>
        <v/>
      </c>
      <c r="N77" s="6">
        <f>ROUND(Raw_Data!N77,2)</f>
        <v/>
      </c>
      <c r="O77" s="7">
        <f>IF(COUNTIF($A$2:$A$1201,A77)&gt;1,"DUPLICATE","Unique")</f>
        <v/>
      </c>
      <c r="P77" s="7">
        <f>IF(COUNTIF($J$2:$J$1201,J77)&gt;1,"DUPLICATE","Unique")</f>
        <v/>
      </c>
      <c r="Q77" s="4">
        <f>IF(TRIM(Raw_Data!L77)="","Yes","No")</f>
        <v/>
      </c>
      <c r="R77" s="4">
        <f>IF(ISNUMBER(B77),"Valid","INVALID")</f>
        <v/>
      </c>
    </row>
    <row r="78">
      <c r="A78" s="4">
        <f>TRIM(Raw_Data!A78)</f>
        <v/>
      </c>
      <c r="B78" s="5">
        <f>Raw_Data!B78</f>
        <v/>
      </c>
      <c r="C78" s="4">
        <f>TRIM(Raw_Data!C78)</f>
        <v/>
      </c>
      <c r="D78" s="4">
        <f>PROPER(TRIM(Raw_Data!D78))</f>
        <v/>
      </c>
      <c r="E78" s="4">
        <f>Raw_Data!E78</f>
        <v/>
      </c>
      <c r="F78" s="6">
        <f>ROUND(Raw_Data!F78,2)</f>
        <v/>
      </c>
      <c r="G78" s="4">
        <f>PROPER(TRIM(Raw_Data!G78))</f>
        <v/>
      </c>
      <c r="H78" s="4">
        <f>PROPER(TRIM(Raw_Data!H78))</f>
        <v/>
      </c>
      <c r="I78" s="4">
        <f>PROPER(TRIM(Raw_Data!I78))</f>
        <v/>
      </c>
      <c r="J78" s="4">
        <f>TRIM(Raw_Data!J78)</f>
        <v/>
      </c>
      <c r="K78" s="4">
        <f>Raw_Data!K78</f>
        <v/>
      </c>
      <c r="L78" s="4">
        <f>IF(TRIM(Raw_Data!L78)="","No Coupon",TRIM(Raw_Data!L78))</f>
        <v/>
      </c>
      <c r="M78" s="4">
        <f>PROPER(TRIM(Raw_Data!M78))</f>
        <v/>
      </c>
      <c r="N78" s="6">
        <f>ROUND(Raw_Data!N78,2)</f>
        <v/>
      </c>
      <c r="O78" s="7">
        <f>IF(COUNTIF($A$2:$A$1201,A78)&gt;1,"DUPLICATE","Unique")</f>
        <v/>
      </c>
      <c r="P78" s="7">
        <f>IF(COUNTIF($J$2:$J$1201,J78)&gt;1,"DUPLICATE","Unique")</f>
        <v/>
      </c>
      <c r="Q78" s="4">
        <f>IF(TRIM(Raw_Data!L78)="","Yes","No")</f>
        <v/>
      </c>
      <c r="R78" s="4">
        <f>IF(ISNUMBER(B78),"Valid","INVALID")</f>
        <v/>
      </c>
    </row>
    <row r="79">
      <c r="A79" s="4">
        <f>TRIM(Raw_Data!A79)</f>
        <v/>
      </c>
      <c r="B79" s="5">
        <f>Raw_Data!B79</f>
        <v/>
      </c>
      <c r="C79" s="4">
        <f>TRIM(Raw_Data!C79)</f>
        <v/>
      </c>
      <c r="D79" s="4">
        <f>PROPER(TRIM(Raw_Data!D79))</f>
        <v/>
      </c>
      <c r="E79" s="4">
        <f>Raw_Data!E79</f>
        <v/>
      </c>
      <c r="F79" s="6">
        <f>ROUND(Raw_Data!F79,2)</f>
        <v/>
      </c>
      <c r="G79" s="4">
        <f>PROPER(TRIM(Raw_Data!G79))</f>
        <v/>
      </c>
      <c r="H79" s="4">
        <f>PROPER(TRIM(Raw_Data!H79))</f>
        <v/>
      </c>
      <c r="I79" s="4">
        <f>PROPER(TRIM(Raw_Data!I79))</f>
        <v/>
      </c>
      <c r="J79" s="4">
        <f>TRIM(Raw_Data!J79)</f>
        <v/>
      </c>
      <c r="K79" s="4">
        <f>Raw_Data!K79</f>
        <v/>
      </c>
      <c r="L79" s="4">
        <f>IF(TRIM(Raw_Data!L79)="","No Coupon",TRIM(Raw_Data!L79))</f>
        <v/>
      </c>
      <c r="M79" s="4">
        <f>PROPER(TRIM(Raw_Data!M79))</f>
        <v/>
      </c>
      <c r="N79" s="6">
        <f>ROUND(Raw_Data!N79,2)</f>
        <v/>
      </c>
      <c r="O79" s="7">
        <f>IF(COUNTIF($A$2:$A$1201,A79)&gt;1,"DUPLICATE","Unique")</f>
        <v/>
      </c>
      <c r="P79" s="7">
        <f>IF(COUNTIF($J$2:$J$1201,J79)&gt;1,"DUPLICATE","Unique")</f>
        <v/>
      </c>
      <c r="Q79" s="4">
        <f>IF(TRIM(Raw_Data!L79)="","Yes","No")</f>
        <v/>
      </c>
      <c r="R79" s="4">
        <f>IF(ISNUMBER(B79),"Valid","INVALID")</f>
        <v/>
      </c>
    </row>
    <row r="80">
      <c r="A80" s="4">
        <f>TRIM(Raw_Data!A80)</f>
        <v/>
      </c>
      <c r="B80" s="5">
        <f>Raw_Data!B80</f>
        <v/>
      </c>
      <c r="C80" s="4">
        <f>TRIM(Raw_Data!C80)</f>
        <v/>
      </c>
      <c r="D80" s="4">
        <f>PROPER(TRIM(Raw_Data!D80))</f>
        <v/>
      </c>
      <c r="E80" s="4">
        <f>Raw_Data!E80</f>
        <v/>
      </c>
      <c r="F80" s="6">
        <f>ROUND(Raw_Data!F80,2)</f>
        <v/>
      </c>
      <c r="G80" s="4">
        <f>PROPER(TRIM(Raw_Data!G80))</f>
        <v/>
      </c>
      <c r="H80" s="4">
        <f>PROPER(TRIM(Raw_Data!H80))</f>
        <v/>
      </c>
      <c r="I80" s="4">
        <f>PROPER(TRIM(Raw_Data!I80))</f>
        <v/>
      </c>
      <c r="J80" s="4">
        <f>TRIM(Raw_Data!J80)</f>
        <v/>
      </c>
      <c r="K80" s="4">
        <f>Raw_Data!K80</f>
        <v/>
      </c>
      <c r="L80" s="4">
        <f>IF(TRIM(Raw_Data!L80)="","No Coupon",TRIM(Raw_Data!L80))</f>
        <v/>
      </c>
      <c r="M80" s="4">
        <f>PROPER(TRIM(Raw_Data!M80))</f>
        <v/>
      </c>
      <c r="N80" s="6">
        <f>ROUND(Raw_Data!N80,2)</f>
        <v/>
      </c>
      <c r="O80" s="7">
        <f>IF(COUNTIF($A$2:$A$1201,A80)&gt;1,"DUPLICATE","Unique")</f>
        <v/>
      </c>
      <c r="P80" s="7">
        <f>IF(COUNTIF($J$2:$J$1201,J80)&gt;1,"DUPLICATE","Unique")</f>
        <v/>
      </c>
      <c r="Q80" s="4">
        <f>IF(TRIM(Raw_Data!L80)="","Yes","No")</f>
        <v/>
      </c>
      <c r="R80" s="4">
        <f>IF(ISNUMBER(B80),"Valid","INVALID")</f>
        <v/>
      </c>
    </row>
    <row r="81">
      <c r="A81" s="4">
        <f>TRIM(Raw_Data!A81)</f>
        <v/>
      </c>
      <c r="B81" s="5">
        <f>Raw_Data!B81</f>
        <v/>
      </c>
      <c r="C81" s="4">
        <f>TRIM(Raw_Data!C81)</f>
        <v/>
      </c>
      <c r="D81" s="4">
        <f>PROPER(TRIM(Raw_Data!D81))</f>
        <v/>
      </c>
      <c r="E81" s="4">
        <f>Raw_Data!E81</f>
        <v/>
      </c>
      <c r="F81" s="6">
        <f>ROUND(Raw_Data!F81,2)</f>
        <v/>
      </c>
      <c r="G81" s="4">
        <f>PROPER(TRIM(Raw_Data!G81))</f>
        <v/>
      </c>
      <c r="H81" s="4">
        <f>PROPER(TRIM(Raw_Data!H81))</f>
        <v/>
      </c>
      <c r="I81" s="4">
        <f>PROPER(TRIM(Raw_Data!I81))</f>
        <v/>
      </c>
      <c r="J81" s="4">
        <f>TRIM(Raw_Data!J81)</f>
        <v/>
      </c>
      <c r="K81" s="4">
        <f>Raw_Data!K81</f>
        <v/>
      </c>
      <c r="L81" s="4">
        <f>IF(TRIM(Raw_Data!L81)="","No Coupon",TRIM(Raw_Data!L81))</f>
        <v/>
      </c>
      <c r="M81" s="4">
        <f>PROPER(TRIM(Raw_Data!M81))</f>
        <v/>
      </c>
      <c r="N81" s="6">
        <f>ROUND(Raw_Data!N81,2)</f>
        <v/>
      </c>
      <c r="O81" s="7">
        <f>IF(COUNTIF($A$2:$A$1201,A81)&gt;1,"DUPLICATE","Unique")</f>
        <v/>
      </c>
      <c r="P81" s="7">
        <f>IF(COUNTIF($J$2:$J$1201,J81)&gt;1,"DUPLICATE","Unique")</f>
        <v/>
      </c>
      <c r="Q81" s="4">
        <f>IF(TRIM(Raw_Data!L81)="","Yes","No")</f>
        <v/>
      </c>
      <c r="R81" s="4">
        <f>IF(ISNUMBER(B81),"Valid","INVALID")</f>
        <v/>
      </c>
    </row>
    <row r="82">
      <c r="A82" s="4">
        <f>TRIM(Raw_Data!A82)</f>
        <v/>
      </c>
      <c r="B82" s="5">
        <f>Raw_Data!B82</f>
        <v/>
      </c>
      <c r="C82" s="4">
        <f>TRIM(Raw_Data!C82)</f>
        <v/>
      </c>
      <c r="D82" s="4">
        <f>PROPER(TRIM(Raw_Data!D82))</f>
        <v/>
      </c>
      <c r="E82" s="4">
        <f>Raw_Data!E82</f>
        <v/>
      </c>
      <c r="F82" s="6">
        <f>ROUND(Raw_Data!F82,2)</f>
        <v/>
      </c>
      <c r="G82" s="4">
        <f>PROPER(TRIM(Raw_Data!G82))</f>
        <v/>
      </c>
      <c r="H82" s="4">
        <f>PROPER(TRIM(Raw_Data!H82))</f>
        <v/>
      </c>
      <c r="I82" s="4">
        <f>PROPER(TRIM(Raw_Data!I82))</f>
        <v/>
      </c>
      <c r="J82" s="4">
        <f>TRIM(Raw_Data!J82)</f>
        <v/>
      </c>
      <c r="K82" s="4">
        <f>Raw_Data!K82</f>
        <v/>
      </c>
      <c r="L82" s="4">
        <f>IF(TRIM(Raw_Data!L82)="","No Coupon",TRIM(Raw_Data!L82))</f>
        <v/>
      </c>
      <c r="M82" s="4">
        <f>PROPER(TRIM(Raw_Data!M82))</f>
        <v/>
      </c>
      <c r="N82" s="6">
        <f>ROUND(Raw_Data!N82,2)</f>
        <v/>
      </c>
      <c r="O82" s="7">
        <f>IF(COUNTIF($A$2:$A$1201,A82)&gt;1,"DUPLICATE","Unique")</f>
        <v/>
      </c>
      <c r="P82" s="7">
        <f>IF(COUNTIF($J$2:$J$1201,J82)&gt;1,"DUPLICATE","Unique")</f>
        <v/>
      </c>
      <c r="Q82" s="4">
        <f>IF(TRIM(Raw_Data!L82)="","Yes","No")</f>
        <v/>
      </c>
      <c r="R82" s="4">
        <f>IF(ISNUMBER(B82),"Valid","INVALID")</f>
        <v/>
      </c>
    </row>
    <row r="83">
      <c r="A83" s="4">
        <f>TRIM(Raw_Data!A83)</f>
        <v/>
      </c>
      <c r="B83" s="5">
        <f>Raw_Data!B83</f>
        <v/>
      </c>
      <c r="C83" s="4">
        <f>TRIM(Raw_Data!C83)</f>
        <v/>
      </c>
      <c r="D83" s="4">
        <f>PROPER(TRIM(Raw_Data!D83))</f>
        <v/>
      </c>
      <c r="E83" s="4">
        <f>Raw_Data!E83</f>
        <v/>
      </c>
      <c r="F83" s="6">
        <f>ROUND(Raw_Data!F83,2)</f>
        <v/>
      </c>
      <c r="G83" s="4">
        <f>PROPER(TRIM(Raw_Data!G83))</f>
        <v/>
      </c>
      <c r="H83" s="4">
        <f>PROPER(TRIM(Raw_Data!H83))</f>
        <v/>
      </c>
      <c r="I83" s="4">
        <f>PROPER(TRIM(Raw_Data!I83))</f>
        <v/>
      </c>
      <c r="J83" s="4">
        <f>TRIM(Raw_Data!J83)</f>
        <v/>
      </c>
      <c r="K83" s="4">
        <f>Raw_Data!K83</f>
        <v/>
      </c>
      <c r="L83" s="4">
        <f>IF(TRIM(Raw_Data!L83)="","No Coupon",TRIM(Raw_Data!L83))</f>
        <v/>
      </c>
      <c r="M83" s="4">
        <f>PROPER(TRIM(Raw_Data!M83))</f>
        <v/>
      </c>
      <c r="N83" s="6">
        <f>ROUND(Raw_Data!N83,2)</f>
        <v/>
      </c>
      <c r="O83" s="7">
        <f>IF(COUNTIF($A$2:$A$1201,A83)&gt;1,"DUPLICATE","Unique")</f>
        <v/>
      </c>
      <c r="P83" s="7">
        <f>IF(COUNTIF($J$2:$J$1201,J83)&gt;1,"DUPLICATE","Unique")</f>
        <v/>
      </c>
      <c r="Q83" s="4">
        <f>IF(TRIM(Raw_Data!L83)="","Yes","No")</f>
        <v/>
      </c>
      <c r="R83" s="4">
        <f>IF(ISNUMBER(B83),"Valid","INVALID")</f>
        <v/>
      </c>
    </row>
    <row r="84">
      <c r="A84" s="4">
        <f>TRIM(Raw_Data!A84)</f>
        <v/>
      </c>
      <c r="B84" s="5">
        <f>Raw_Data!B84</f>
        <v/>
      </c>
      <c r="C84" s="4">
        <f>TRIM(Raw_Data!C84)</f>
        <v/>
      </c>
      <c r="D84" s="4">
        <f>PROPER(TRIM(Raw_Data!D84))</f>
        <v/>
      </c>
      <c r="E84" s="4">
        <f>Raw_Data!E84</f>
        <v/>
      </c>
      <c r="F84" s="6">
        <f>ROUND(Raw_Data!F84,2)</f>
        <v/>
      </c>
      <c r="G84" s="4">
        <f>PROPER(TRIM(Raw_Data!G84))</f>
        <v/>
      </c>
      <c r="H84" s="4">
        <f>PROPER(TRIM(Raw_Data!H84))</f>
        <v/>
      </c>
      <c r="I84" s="4">
        <f>PROPER(TRIM(Raw_Data!I84))</f>
        <v/>
      </c>
      <c r="J84" s="4">
        <f>TRIM(Raw_Data!J84)</f>
        <v/>
      </c>
      <c r="K84" s="4">
        <f>Raw_Data!K84</f>
        <v/>
      </c>
      <c r="L84" s="4">
        <f>IF(TRIM(Raw_Data!L84)="","No Coupon",TRIM(Raw_Data!L84))</f>
        <v/>
      </c>
      <c r="M84" s="4">
        <f>PROPER(TRIM(Raw_Data!M84))</f>
        <v/>
      </c>
      <c r="N84" s="6">
        <f>ROUND(Raw_Data!N84,2)</f>
        <v/>
      </c>
      <c r="O84" s="7">
        <f>IF(COUNTIF($A$2:$A$1201,A84)&gt;1,"DUPLICATE","Unique")</f>
        <v/>
      </c>
      <c r="P84" s="7">
        <f>IF(COUNTIF($J$2:$J$1201,J84)&gt;1,"DUPLICATE","Unique")</f>
        <v/>
      </c>
      <c r="Q84" s="4">
        <f>IF(TRIM(Raw_Data!L84)="","Yes","No")</f>
        <v/>
      </c>
      <c r="R84" s="4">
        <f>IF(ISNUMBER(B84),"Valid","INVALID")</f>
        <v/>
      </c>
    </row>
    <row r="85">
      <c r="A85" s="4">
        <f>TRIM(Raw_Data!A85)</f>
        <v/>
      </c>
      <c r="B85" s="5">
        <f>Raw_Data!B85</f>
        <v/>
      </c>
      <c r="C85" s="4">
        <f>TRIM(Raw_Data!C85)</f>
        <v/>
      </c>
      <c r="D85" s="4">
        <f>PROPER(TRIM(Raw_Data!D85))</f>
        <v/>
      </c>
      <c r="E85" s="4">
        <f>Raw_Data!E85</f>
        <v/>
      </c>
      <c r="F85" s="6">
        <f>ROUND(Raw_Data!F85,2)</f>
        <v/>
      </c>
      <c r="G85" s="4">
        <f>PROPER(TRIM(Raw_Data!G85))</f>
        <v/>
      </c>
      <c r="H85" s="4">
        <f>PROPER(TRIM(Raw_Data!H85))</f>
        <v/>
      </c>
      <c r="I85" s="4">
        <f>PROPER(TRIM(Raw_Data!I85))</f>
        <v/>
      </c>
      <c r="J85" s="4">
        <f>TRIM(Raw_Data!J85)</f>
        <v/>
      </c>
      <c r="K85" s="4">
        <f>Raw_Data!K85</f>
        <v/>
      </c>
      <c r="L85" s="4">
        <f>IF(TRIM(Raw_Data!L85)="","No Coupon",TRIM(Raw_Data!L85))</f>
        <v/>
      </c>
      <c r="M85" s="4">
        <f>PROPER(TRIM(Raw_Data!M85))</f>
        <v/>
      </c>
      <c r="N85" s="6">
        <f>ROUND(Raw_Data!N85,2)</f>
        <v/>
      </c>
      <c r="O85" s="7">
        <f>IF(COUNTIF($A$2:$A$1201,A85)&gt;1,"DUPLICATE","Unique")</f>
        <v/>
      </c>
      <c r="P85" s="7">
        <f>IF(COUNTIF($J$2:$J$1201,J85)&gt;1,"DUPLICATE","Unique")</f>
        <v/>
      </c>
      <c r="Q85" s="4">
        <f>IF(TRIM(Raw_Data!L85)="","Yes","No")</f>
        <v/>
      </c>
      <c r="R85" s="4">
        <f>IF(ISNUMBER(B85),"Valid","INVALID")</f>
        <v/>
      </c>
    </row>
    <row r="86">
      <c r="A86" s="4">
        <f>TRIM(Raw_Data!A86)</f>
        <v/>
      </c>
      <c r="B86" s="5">
        <f>Raw_Data!B86</f>
        <v/>
      </c>
      <c r="C86" s="4">
        <f>TRIM(Raw_Data!C86)</f>
        <v/>
      </c>
      <c r="D86" s="4">
        <f>PROPER(TRIM(Raw_Data!D86))</f>
        <v/>
      </c>
      <c r="E86" s="4">
        <f>Raw_Data!E86</f>
        <v/>
      </c>
      <c r="F86" s="6">
        <f>ROUND(Raw_Data!F86,2)</f>
        <v/>
      </c>
      <c r="G86" s="4">
        <f>PROPER(TRIM(Raw_Data!G86))</f>
        <v/>
      </c>
      <c r="H86" s="4">
        <f>PROPER(TRIM(Raw_Data!H86))</f>
        <v/>
      </c>
      <c r="I86" s="4">
        <f>PROPER(TRIM(Raw_Data!I86))</f>
        <v/>
      </c>
      <c r="J86" s="4">
        <f>TRIM(Raw_Data!J86)</f>
        <v/>
      </c>
      <c r="K86" s="4">
        <f>Raw_Data!K86</f>
        <v/>
      </c>
      <c r="L86" s="4">
        <f>IF(TRIM(Raw_Data!L86)="","No Coupon",TRIM(Raw_Data!L86))</f>
        <v/>
      </c>
      <c r="M86" s="4">
        <f>PROPER(TRIM(Raw_Data!M86))</f>
        <v/>
      </c>
      <c r="N86" s="6">
        <f>ROUND(Raw_Data!N86,2)</f>
        <v/>
      </c>
      <c r="O86" s="7">
        <f>IF(COUNTIF($A$2:$A$1201,A86)&gt;1,"DUPLICATE","Unique")</f>
        <v/>
      </c>
      <c r="P86" s="7">
        <f>IF(COUNTIF($J$2:$J$1201,J86)&gt;1,"DUPLICATE","Unique")</f>
        <v/>
      </c>
      <c r="Q86" s="4">
        <f>IF(TRIM(Raw_Data!L86)="","Yes","No")</f>
        <v/>
      </c>
      <c r="R86" s="4">
        <f>IF(ISNUMBER(B86),"Valid","INVALID")</f>
        <v/>
      </c>
    </row>
    <row r="87">
      <c r="A87" s="4">
        <f>TRIM(Raw_Data!A87)</f>
        <v/>
      </c>
      <c r="B87" s="5">
        <f>Raw_Data!B87</f>
        <v/>
      </c>
      <c r="C87" s="4">
        <f>TRIM(Raw_Data!C87)</f>
        <v/>
      </c>
      <c r="D87" s="4">
        <f>PROPER(TRIM(Raw_Data!D87))</f>
        <v/>
      </c>
      <c r="E87" s="4">
        <f>Raw_Data!E87</f>
        <v/>
      </c>
      <c r="F87" s="6">
        <f>ROUND(Raw_Data!F87,2)</f>
        <v/>
      </c>
      <c r="G87" s="4">
        <f>PROPER(TRIM(Raw_Data!G87))</f>
        <v/>
      </c>
      <c r="H87" s="4">
        <f>PROPER(TRIM(Raw_Data!H87))</f>
        <v/>
      </c>
      <c r="I87" s="4">
        <f>PROPER(TRIM(Raw_Data!I87))</f>
        <v/>
      </c>
      <c r="J87" s="4">
        <f>TRIM(Raw_Data!J87)</f>
        <v/>
      </c>
      <c r="K87" s="4">
        <f>Raw_Data!K87</f>
        <v/>
      </c>
      <c r="L87" s="4">
        <f>IF(TRIM(Raw_Data!L87)="","No Coupon",TRIM(Raw_Data!L87))</f>
        <v/>
      </c>
      <c r="M87" s="4">
        <f>PROPER(TRIM(Raw_Data!M87))</f>
        <v/>
      </c>
      <c r="N87" s="6">
        <f>ROUND(Raw_Data!N87,2)</f>
        <v/>
      </c>
      <c r="O87" s="7">
        <f>IF(COUNTIF($A$2:$A$1201,A87)&gt;1,"DUPLICATE","Unique")</f>
        <v/>
      </c>
      <c r="P87" s="7">
        <f>IF(COUNTIF($J$2:$J$1201,J87)&gt;1,"DUPLICATE","Unique")</f>
        <v/>
      </c>
      <c r="Q87" s="4">
        <f>IF(TRIM(Raw_Data!L87)="","Yes","No")</f>
        <v/>
      </c>
      <c r="R87" s="4">
        <f>IF(ISNUMBER(B87),"Valid","INVALID")</f>
        <v/>
      </c>
    </row>
    <row r="88">
      <c r="A88" s="4">
        <f>TRIM(Raw_Data!A88)</f>
        <v/>
      </c>
      <c r="B88" s="5">
        <f>Raw_Data!B88</f>
        <v/>
      </c>
      <c r="C88" s="4">
        <f>TRIM(Raw_Data!C88)</f>
        <v/>
      </c>
      <c r="D88" s="4">
        <f>PROPER(TRIM(Raw_Data!D88))</f>
        <v/>
      </c>
      <c r="E88" s="4">
        <f>Raw_Data!E88</f>
        <v/>
      </c>
      <c r="F88" s="6">
        <f>ROUND(Raw_Data!F88,2)</f>
        <v/>
      </c>
      <c r="G88" s="4">
        <f>PROPER(TRIM(Raw_Data!G88))</f>
        <v/>
      </c>
      <c r="H88" s="4">
        <f>PROPER(TRIM(Raw_Data!H88))</f>
        <v/>
      </c>
      <c r="I88" s="4">
        <f>PROPER(TRIM(Raw_Data!I88))</f>
        <v/>
      </c>
      <c r="J88" s="4">
        <f>TRIM(Raw_Data!J88)</f>
        <v/>
      </c>
      <c r="K88" s="4">
        <f>Raw_Data!K88</f>
        <v/>
      </c>
      <c r="L88" s="4">
        <f>IF(TRIM(Raw_Data!L88)="","No Coupon",TRIM(Raw_Data!L88))</f>
        <v/>
      </c>
      <c r="M88" s="4">
        <f>PROPER(TRIM(Raw_Data!M88))</f>
        <v/>
      </c>
      <c r="N88" s="6">
        <f>ROUND(Raw_Data!N88,2)</f>
        <v/>
      </c>
      <c r="O88" s="7">
        <f>IF(COUNTIF($A$2:$A$1201,A88)&gt;1,"DUPLICATE","Unique")</f>
        <v/>
      </c>
      <c r="P88" s="7">
        <f>IF(COUNTIF($J$2:$J$1201,J88)&gt;1,"DUPLICATE","Unique")</f>
        <v/>
      </c>
      <c r="Q88" s="4">
        <f>IF(TRIM(Raw_Data!L88)="","Yes","No")</f>
        <v/>
      </c>
      <c r="R88" s="4">
        <f>IF(ISNUMBER(B88),"Valid","INVALID")</f>
        <v/>
      </c>
    </row>
    <row r="89">
      <c r="A89" s="4">
        <f>TRIM(Raw_Data!A89)</f>
        <v/>
      </c>
      <c r="B89" s="5">
        <f>Raw_Data!B89</f>
        <v/>
      </c>
      <c r="C89" s="4">
        <f>TRIM(Raw_Data!C89)</f>
        <v/>
      </c>
      <c r="D89" s="4">
        <f>PROPER(TRIM(Raw_Data!D89))</f>
        <v/>
      </c>
      <c r="E89" s="4">
        <f>Raw_Data!E89</f>
        <v/>
      </c>
      <c r="F89" s="6">
        <f>ROUND(Raw_Data!F89,2)</f>
        <v/>
      </c>
      <c r="G89" s="4">
        <f>PROPER(TRIM(Raw_Data!G89))</f>
        <v/>
      </c>
      <c r="H89" s="4">
        <f>PROPER(TRIM(Raw_Data!H89))</f>
        <v/>
      </c>
      <c r="I89" s="4">
        <f>PROPER(TRIM(Raw_Data!I89))</f>
        <v/>
      </c>
      <c r="J89" s="4">
        <f>TRIM(Raw_Data!J89)</f>
        <v/>
      </c>
      <c r="K89" s="4">
        <f>Raw_Data!K89</f>
        <v/>
      </c>
      <c r="L89" s="4">
        <f>IF(TRIM(Raw_Data!L89)="","No Coupon",TRIM(Raw_Data!L89))</f>
        <v/>
      </c>
      <c r="M89" s="4">
        <f>PROPER(TRIM(Raw_Data!M89))</f>
        <v/>
      </c>
      <c r="N89" s="6">
        <f>ROUND(Raw_Data!N89,2)</f>
        <v/>
      </c>
      <c r="O89" s="7">
        <f>IF(COUNTIF($A$2:$A$1201,A89)&gt;1,"DUPLICATE","Unique")</f>
        <v/>
      </c>
      <c r="P89" s="7">
        <f>IF(COUNTIF($J$2:$J$1201,J89)&gt;1,"DUPLICATE","Unique")</f>
        <v/>
      </c>
      <c r="Q89" s="4">
        <f>IF(TRIM(Raw_Data!L89)="","Yes","No")</f>
        <v/>
      </c>
      <c r="R89" s="4">
        <f>IF(ISNUMBER(B89),"Valid","INVALID")</f>
        <v/>
      </c>
    </row>
    <row r="90">
      <c r="A90" s="4">
        <f>TRIM(Raw_Data!A90)</f>
        <v/>
      </c>
      <c r="B90" s="5">
        <f>Raw_Data!B90</f>
        <v/>
      </c>
      <c r="C90" s="4">
        <f>TRIM(Raw_Data!C90)</f>
        <v/>
      </c>
      <c r="D90" s="4">
        <f>PROPER(TRIM(Raw_Data!D90))</f>
        <v/>
      </c>
      <c r="E90" s="4">
        <f>Raw_Data!E90</f>
        <v/>
      </c>
      <c r="F90" s="6">
        <f>ROUND(Raw_Data!F90,2)</f>
        <v/>
      </c>
      <c r="G90" s="4">
        <f>PROPER(TRIM(Raw_Data!G90))</f>
        <v/>
      </c>
      <c r="H90" s="4">
        <f>PROPER(TRIM(Raw_Data!H90))</f>
        <v/>
      </c>
      <c r="I90" s="4">
        <f>PROPER(TRIM(Raw_Data!I90))</f>
        <v/>
      </c>
      <c r="J90" s="4">
        <f>TRIM(Raw_Data!J90)</f>
        <v/>
      </c>
      <c r="K90" s="4">
        <f>Raw_Data!K90</f>
        <v/>
      </c>
      <c r="L90" s="4">
        <f>IF(TRIM(Raw_Data!L90)="","No Coupon",TRIM(Raw_Data!L90))</f>
        <v/>
      </c>
      <c r="M90" s="4">
        <f>PROPER(TRIM(Raw_Data!M90))</f>
        <v/>
      </c>
      <c r="N90" s="6">
        <f>ROUND(Raw_Data!N90,2)</f>
        <v/>
      </c>
      <c r="O90" s="7">
        <f>IF(COUNTIF($A$2:$A$1201,A90)&gt;1,"DUPLICATE","Unique")</f>
        <v/>
      </c>
      <c r="P90" s="7">
        <f>IF(COUNTIF($J$2:$J$1201,J90)&gt;1,"DUPLICATE","Unique")</f>
        <v/>
      </c>
      <c r="Q90" s="4">
        <f>IF(TRIM(Raw_Data!L90)="","Yes","No")</f>
        <v/>
      </c>
      <c r="R90" s="4">
        <f>IF(ISNUMBER(B90),"Valid","INVALID")</f>
        <v/>
      </c>
    </row>
    <row r="91">
      <c r="A91" s="4">
        <f>TRIM(Raw_Data!A91)</f>
        <v/>
      </c>
      <c r="B91" s="5">
        <f>Raw_Data!B91</f>
        <v/>
      </c>
      <c r="C91" s="4">
        <f>TRIM(Raw_Data!C91)</f>
        <v/>
      </c>
      <c r="D91" s="4">
        <f>PROPER(TRIM(Raw_Data!D91))</f>
        <v/>
      </c>
      <c r="E91" s="4">
        <f>Raw_Data!E91</f>
        <v/>
      </c>
      <c r="F91" s="6">
        <f>ROUND(Raw_Data!F91,2)</f>
        <v/>
      </c>
      <c r="G91" s="4">
        <f>PROPER(TRIM(Raw_Data!G91))</f>
        <v/>
      </c>
      <c r="H91" s="4">
        <f>PROPER(TRIM(Raw_Data!H91))</f>
        <v/>
      </c>
      <c r="I91" s="4">
        <f>PROPER(TRIM(Raw_Data!I91))</f>
        <v/>
      </c>
      <c r="J91" s="4">
        <f>TRIM(Raw_Data!J91)</f>
        <v/>
      </c>
      <c r="K91" s="4">
        <f>Raw_Data!K91</f>
        <v/>
      </c>
      <c r="L91" s="4">
        <f>IF(TRIM(Raw_Data!L91)="","No Coupon",TRIM(Raw_Data!L91))</f>
        <v/>
      </c>
      <c r="M91" s="4">
        <f>PROPER(TRIM(Raw_Data!M91))</f>
        <v/>
      </c>
      <c r="N91" s="6">
        <f>ROUND(Raw_Data!N91,2)</f>
        <v/>
      </c>
      <c r="O91" s="7">
        <f>IF(COUNTIF($A$2:$A$1201,A91)&gt;1,"DUPLICATE","Unique")</f>
        <v/>
      </c>
      <c r="P91" s="7">
        <f>IF(COUNTIF($J$2:$J$1201,J91)&gt;1,"DUPLICATE","Unique")</f>
        <v/>
      </c>
      <c r="Q91" s="4">
        <f>IF(TRIM(Raw_Data!L91)="","Yes","No")</f>
        <v/>
      </c>
      <c r="R91" s="4">
        <f>IF(ISNUMBER(B91),"Valid","INVALID")</f>
        <v/>
      </c>
    </row>
    <row r="92">
      <c r="A92" s="4">
        <f>TRIM(Raw_Data!A92)</f>
        <v/>
      </c>
      <c r="B92" s="5">
        <f>Raw_Data!B92</f>
        <v/>
      </c>
      <c r="C92" s="4">
        <f>TRIM(Raw_Data!C92)</f>
        <v/>
      </c>
      <c r="D92" s="4">
        <f>PROPER(TRIM(Raw_Data!D92))</f>
        <v/>
      </c>
      <c r="E92" s="4">
        <f>Raw_Data!E92</f>
        <v/>
      </c>
      <c r="F92" s="6">
        <f>ROUND(Raw_Data!F92,2)</f>
        <v/>
      </c>
      <c r="G92" s="4">
        <f>PROPER(TRIM(Raw_Data!G92))</f>
        <v/>
      </c>
      <c r="H92" s="4">
        <f>PROPER(TRIM(Raw_Data!H92))</f>
        <v/>
      </c>
      <c r="I92" s="4">
        <f>PROPER(TRIM(Raw_Data!I92))</f>
        <v/>
      </c>
      <c r="J92" s="4">
        <f>TRIM(Raw_Data!J92)</f>
        <v/>
      </c>
      <c r="K92" s="4">
        <f>Raw_Data!K92</f>
        <v/>
      </c>
      <c r="L92" s="4">
        <f>IF(TRIM(Raw_Data!L92)="","No Coupon",TRIM(Raw_Data!L92))</f>
        <v/>
      </c>
      <c r="M92" s="4">
        <f>PROPER(TRIM(Raw_Data!M92))</f>
        <v/>
      </c>
      <c r="N92" s="6">
        <f>ROUND(Raw_Data!N92,2)</f>
        <v/>
      </c>
      <c r="O92" s="7">
        <f>IF(COUNTIF($A$2:$A$1201,A92)&gt;1,"DUPLICATE","Unique")</f>
        <v/>
      </c>
      <c r="P92" s="7">
        <f>IF(COUNTIF($J$2:$J$1201,J92)&gt;1,"DUPLICATE","Unique")</f>
        <v/>
      </c>
      <c r="Q92" s="4">
        <f>IF(TRIM(Raw_Data!L92)="","Yes","No")</f>
        <v/>
      </c>
      <c r="R92" s="4">
        <f>IF(ISNUMBER(B92),"Valid","INVALID")</f>
        <v/>
      </c>
    </row>
    <row r="93">
      <c r="A93" s="4">
        <f>TRIM(Raw_Data!A93)</f>
        <v/>
      </c>
      <c r="B93" s="5">
        <f>Raw_Data!B93</f>
        <v/>
      </c>
      <c r="C93" s="4">
        <f>TRIM(Raw_Data!C93)</f>
        <v/>
      </c>
      <c r="D93" s="4">
        <f>PROPER(TRIM(Raw_Data!D93))</f>
        <v/>
      </c>
      <c r="E93" s="4">
        <f>Raw_Data!E93</f>
        <v/>
      </c>
      <c r="F93" s="6">
        <f>ROUND(Raw_Data!F93,2)</f>
        <v/>
      </c>
      <c r="G93" s="4">
        <f>PROPER(TRIM(Raw_Data!G93))</f>
        <v/>
      </c>
      <c r="H93" s="4">
        <f>PROPER(TRIM(Raw_Data!H93))</f>
        <v/>
      </c>
      <c r="I93" s="4">
        <f>PROPER(TRIM(Raw_Data!I93))</f>
        <v/>
      </c>
      <c r="J93" s="4">
        <f>TRIM(Raw_Data!J93)</f>
        <v/>
      </c>
      <c r="K93" s="4">
        <f>Raw_Data!K93</f>
        <v/>
      </c>
      <c r="L93" s="4">
        <f>IF(TRIM(Raw_Data!L93)="","No Coupon",TRIM(Raw_Data!L93))</f>
        <v/>
      </c>
      <c r="M93" s="4">
        <f>PROPER(TRIM(Raw_Data!M93))</f>
        <v/>
      </c>
      <c r="N93" s="6">
        <f>ROUND(Raw_Data!N93,2)</f>
        <v/>
      </c>
      <c r="O93" s="7">
        <f>IF(COUNTIF($A$2:$A$1201,A93)&gt;1,"DUPLICATE","Unique")</f>
        <v/>
      </c>
      <c r="P93" s="7">
        <f>IF(COUNTIF($J$2:$J$1201,J93)&gt;1,"DUPLICATE","Unique")</f>
        <v/>
      </c>
      <c r="Q93" s="4">
        <f>IF(TRIM(Raw_Data!L93)="","Yes","No")</f>
        <v/>
      </c>
      <c r="R93" s="4">
        <f>IF(ISNUMBER(B93),"Valid","INVALID")</f>
        <v/>
      </c>
    </row>
    <row r="94">
      <c r="A94" s="4">
        <f>TRIM(Raw_Data!A94)</f>
        <v/>
      </c>
      <c r="B94" s="5">
        <f>Raw_Data!B94</f>
        <v/>
      </c>
      <c r="C94" s="4">
        <f>TRIM(Raw_Data!C94)</f>
        <v/>
      </c>
      <c r="D94" s="4">
        <f>PROPER(TRIM(Raw_Data!D94))</f>
        <v/>
      </c>
      <c r="E94" s="4">
        <f>Raw_Data!E94</f>
        <v/>
      </c>
      <c r="F94" s="6">
        <f>ROUND(Raw_Data!F94,2)</f>
        <v/>
      </c>
      <c r="G94" s="4">
        <f>PROPER(TRIM(Raw_Data!G94))</f>
        <v/>
      </c>
      <c r="H94" s="4">
        <f>PROPER(TRIM(Raw_Data!H94))</f>
        <v/>
      </c>
      <c r="I94" s="4">
        <f>PROPER(TRIM(Raw_Data!I94))</f>
        <v/>
      </c>
      <c r="J94" s="4">
        <f>TRIM(Raw_Data!J94)</f>
        <v/>
      </c>
      <c r="K94" s="4">
        <f>Raw_Data!K94</f>
        <v/>
      </c>
      <c r="L94" s="4">
        <f>IF(TRIM(Raw_Data!L94)="","No Coupon",TRIM(Raw_Data!L94))</f>
        <v/>
      </c>
      <c r="M94" s="4">
        <f>PROPER(TRIM(Raw_Data!M94))</f>
        <v/>
      </c>
      <c r="N94" s="6">
        <f>ROUND(Raw_Data!N94,2)</f>
        <v/>
      </c>
      <c r="O94" s="7">
        <f>IF(COUNTIF($A$2:$A$1201,A94)&gt;1,"DUPLICATE","Unique")</f>
        <v/>
      </c>
      <c r="P94" s="7">
        <f>IF(COUNTIF($J$2:$J$1201,J94)&gt;1,"DUPLICATE","Unique")</f>
        <v/>
      </c>
      <c r="Q94" s="4">
        <f>IF(TRIM(Raw_Data!L94)="","Yes","No")</f>
        <v/>
      </c>
      <c r="R94" s="4">
        <f>IF(ISNUMBER(B94),"Valid","INVALID")</f>
        <v/>
      </c>
    </row>
    <row r="95">
      <c r="A95" s="4">
        <f>TRIM(Raw_Data!A95)</f>
        <v/>
      </c>
      <c r="B95" s="5">
        <f>Raw_Data!B95</f>
        <v/>
      </c>
      <c r="C95" s="4">
        <f>TRIM(Raw_Data!C95)</f>
        <v/>
      </c>
      <c r="D95" s="4">
        <f>PROPER(TRIM(Raw_Data!D95))</f>
        <v/>
      </c>
      <c r="E95" s="4">
        <f>Raw_Data!E95</f>
        <v/>
      </c>
      <c r="F95" s="6">
        <f>ROUND(Raw_Data!F95,2)</f>
        <v/>
      </c>
      <c r="G95" s="4">
        <f>PROPER(TRIM(Raw_Data!G95))</f>
        <v/>
      </c>
      <c r="H95" s="4">
        <f>PROPER(TRIM(Raw_Data!H95))</f>
        <v/>
      </c>
      <c r="I95" s="4">
        <f>PROPER(TRIM(Raw_Data!I95))</f>
        <v/>
      </c>
      <c r="J95" s="4">
        <f>TRIM(Raw_Data!J95)</f>
        <v/>
      </c>
      <c r="K95" s="4">
        <f>Raw_Data!K95</f>
        <v/>
      </c>
      <c r="L95" s="4">
        <f>IF(TRIM(Raw_Data!L95)="","No Coupon",TRIM(Raw_Data!L95))</f>
        <v/>
      </c>
      <c r="M95" s="4">
        <f>PROPER(TRIM(Raw_Data!M95))</f>
        <v/>
      </c>
      <c r="N95" s="6">
        <f>ROUND(Raw_Data!N95,2)</f>
        <v/>
      </c>
      <c r="O95" s="7">
        <f>IF(COUNTIF($A$2:$A$1201,A95)&gt;1,"DUPLICATE","Unique")</f>
        <v/>
      </c>
      <c r="P95" s="7">
        <f>IF(COUNTIF($J$2:$J$1201,J95)&gt;1,"DUPLICATE","Unique")</f>
        <v/>
      </c>
      <c r="Q95" s="4">
        <f>IF(TRIM(Raw_Data!L95)="","Yes","No")</f>
        <v/>
      </c>
      <c r="R95" s="4">
        <f>IF(ISNUMBER(B95),"Valid","INVALID")</f>
        <v/>
      </c>
    </row>
    <row r="96">
      <c r="A96" s="4">
        <f>TRIM(Raw_Data!A96)</f>
        <v/>
      </c>
      <c r="B96" s="5">
        <f>Raw_Data!B96</f>
        <v/>
      </c>
      <c r="C96" s="4">
        <f>TRIM(Raw_Data!C96)</f>
        <v/>
      </c>
      <c r="D96" s="4">
        <f>PROPER(TRIM(Raw_Data!D96))</f>
        <v/>
      </c>
      <c r="E96" s="4">
        <f>Raw_Data!E96</f>
        <v/>
      </c>
      <c r="F96" s="6">
        <f>ROUND(Raw_Data!F96,2)</f>
        <v/>
      </c>
      <c r="G96" s="4">
        <f>PROPER(TRIM(Raw_Data!G96))</f>
        <v/>
      </c>
      <c r="H96" s="4">
        <f>PROPER(TRIM(Raw_Data!H96))</f>
        <v/>
      </c>
      <c r="I96" s="4">
        <f>PROPER(TRIM(Raw_Data!I96))</f>
        <v/>
      </c>
      <c r="J96" s="4">
        <f>TRIM(Raw_Data!J96)</f>
        <v/>
      </c>
      <c r="K96" s="4">
        <f>Raw_Data!K96</f>
        <v/>
      </c>
      <c r="L96" s="4">
        <f>IF(TRIM(Raw_Data!L96)="","No Coupon",TRIM(Raw_Data!L96))</f>
        <v/>
      </c>
      <c r="M96" s="4">
        <f>PROPER(TRIM(Raw_Data!M96))</f>
        <v/>
      </c>
      <c r="N96" s="6">
        <f>ROUND(Raw_Data!N96,2)</f>
        <v/>
      </c>
      <c r="O96" s="7">
        <f>IF(COUNTIF($A$2:$A$1201,A96)&gt;1,"DUPLICATE","Unique")</f>
        <v/>
      </c>
      <c r="P96" s="7">
        <f>IF(COUNTIF($J$2:$J$1201,J96)&gt;1,"DUPLICATE","Unique")</f>
        <v/>
      </c>
      <c r="Q96" s="4">
        <f>IF(TRIM(Raw_Data!L96)="","Yes","No")</f>
        <v/>
      </c>
      <c r="R96" s="4">
        <f>IF(ISNUMBER(B96),"Valid","INVALID")</f>
        <v/>
      </c>
    </row>
    <row r="97">
      <c r="A97" s="4">
        <f>TRIM(Raw_Data!A97)</f>
        <v/>
      </c>
      <c r="B97" s="5">
        <f>Raw_Data!B97</f>
        <v/>
      </c>
      <c r="C97" s="4">
        <f>TRIM(Raw_Data!C97)</f>
        <v/>
      </c>
      <c r="D97" s="4">
        <f>PROPER(TRIM(Raw_Data!D97))</f>
        <v/>
      </c>
      <c r="E97" s="4">
        <f>Raw_Data!E97</f>
        <v/>
      </c>
      <c r="F97" s="6">
        <f>ROUND(Raw_Data!F97,2)</f>
        <v/>
      </c>
      <c r="G97" s="4">
        <f>PROPER(TRIM(Raw_Data!G97))</f>
        <v/>
      </c>
      <c r="H97" s="4">
        <f>PROPER(TRIM(Raw_Data!H97))</f>
        <v/>
      </c>
      <c r="I97" s="4">
        <f>PROPER(TRIM(Raw_Data!I97))</f>
        <v/>
      </c>
      <c r="J97" s="4">
        <f>TRIM(Raw_Data!J97)</f>
        <v/>
      </c>
      <c r="K97" s="4">
        <f>Raw_Data!K97</f>
        <v/>
      </c>
      <c r="L97" s="4">
        <f>IF(TRIM(Raw_Data!L97)="","No Coupon",TRIM(Raw_Data!L97))</f>
        <v/>
      </c>
      <c r="M97" s="4">
        <f>PROPER(TRIM(Raw_Data!M97))</f>
        <v/>
      </c>
      <c r="N97" s="6">
        <f>ROUND(Raw_Data!N97,2)</f>
        <v/>
      </c>
      <c r="O97" s="7">
        <f>IF(COUNTIF($A$2:$A$1201,A97)&gt;1,"DUPLICATE","Unique")</f>
        <v/>
      </c>
      <c r="P97" s="7">
        <f>IF(COUNTIF($J$2:$J$1201,J97)&gt;1,"DUPLICATE","Unique")</f>
        <v/>
      </c>
      <c r="Q97" s="4">
        <f>IF(TRIM(Raw_Data!L97)="","Yes","No")</f>
        <v/>
      </c>
      <c r="R97" s="4">
        <f>IF(ISNUMBER(B97),"Valid","INVALID")</f>
        <v/>
      </c>
    </row>
    <row r="98">
      <c r="A98" s="4">
        <f>TRIM(Raw_Data!A98)</f>
        <v/>
      </c>
      <c r="B98" s="5">
        <f>Raw_Data!B98</f>
        <v/>
      </c>
      <c r="C98" s="4">
        <f>TRIM(Raw_Data!C98)</f>
        <v/>
      </c>
      <c r="D98" s="4">
        <f>PROPER(TRIM(Raw_Data!D98))</f>
        <v/>
      </c>
      <c r="E98" s="4">
        <f>Raw_Data!E98</f>
        <v/>
      </c>
      <c r="F98" s="6">
        <f>ROUND(Raw_Data!F98,2)</f>
        <v/>
      </c>
      <c r="G98" s="4">
        <f>PROPER(TRIM(Raw_Data!G98))</f>
        <v/>
      </c>
      <c r="H98" s="4">
        <f>PROPER(TRIM(Raw_Data!H98))</f>
        <v/>
      </c>
      <c r="I98" s="4">
        <f>PROPER(TRIM(Raw_Data!I98))</f>
        <v/>
      </c>
      <c r="J98" s="4">
        <f>TRIM(Raw_Data!J98)</f>
        <v/>
      </c>
      <c r="K98" s="4">
        <f>Raw_Data!K98</f>
        <v/>
      </c>
      <c r="L98" s="4">
        <f>IF(TRIM(Raw_Data!L98)="","No Coupon",TRIM(Raw_Data!L98))</f>
        <v/>
      </c>
      <c r="M98" s="4">
        <f>PROPER(TRIM(Raw_Data!M98))</f>
        <v/>
      </c>
      <c r="N98" s="6">
        <f>ROUND(Raw_Data!N98,2)</f>
        <v/>
      </c>
      <c r="O98" s="7">
        <f>IF(COUNTIF($A$2:$A$1201,A98)&gt;1,"DUPLICATE","Unique")</f>
        <v/>
      </c>
      <c r="P98" s="7">
        <f>IF(COUNTIF($J$2:$J$1201,J98)&gt;1,"DUPLICATE","Unique")</f>
        <v/>
      </c>
      <c r="Q98" s="4">
        <f>IF(TRIM(Raw_Data!L98)="","Yes","No")</f>
        <v/>
      </c>
      <c r="R98" s="4">
        <f>IF(ISNUMBER(B98),"Valid","INVALID")</f>
        <v/>
      </c>
    </row>
    <row r="99">
      <c r="A99" s="4">
        <f>TRIM(Raw_Data!A99)</f>
        <v/>
      </c>
      <c r="B99" s="5">
        <f>Raw_Data!B99</f>
        <v/>
      </c>
      <c r="C99" s="4">
        <f>TRIM(Raw_Data!C99)</f>
        <v/>
      </c>
      <c r="D99" s="4">
        <f>PROPER(TRIM(Raw_Data!D99))</f>
        <v/>
      </c>
      <c r="E99" s="4">
        <f>Raw_Data!E99</f>
        <v/>
      </c>
      <c r="F99" s="6">
        <f>ROUND(Raw_Data!F99,2)</f>
        <v/>
      </c>
      <c r="G99" s="4">
        <f>PROPER(TRIM(Raw_Data!G99))</f>
        <v/>
      </c>
      <c r="H99" s="4">
        <f>PROPER(TRIM(Raw_Data!H99))</f>
        <v/>
      </c>
      <c r="I99" s="4">
        <f>PROPER(TRIM(Raw_Data!I99))</f>
        <v/>
      </c>
      <c r="J99" s="4">
        <f>TRIM(Raw_Data!J99)</f>
        <v/>
      </c>
      <c r="K99" s="4">
        <f>Raw_Data!K99</f>
        <v/>
      </c>
      <c r="L99" s="4">
        <f>IF(TRIM(Raw_Data!L99)="","No Coupon",TRIM(Raw_Data!L99))</f>
        <v/>
      </c>
      <c r="M99" s="4">
        <f>PROPER(TRIM(Raw_Data!M99))</f>
        <v/>
      </c>
      <c r="N99" s="6">
        <f>ROUND(Raw_Data!N99,2)</f>
        <v/>
      </c>
      <c r="O99" s="7">
        <f>IF(COUNTIF($A$2:$A$1201,A99)&gt;1,"DUPLICATE","Unique")</f>
        <v/>
      </c>
      <c r="P99" s="7">
        <f>IF(COUNTIF($J$2:$J$1201,J99)&gt;1,"DUPLICATE","Unique")</f>
        <v/>
      </c>
      <c r="Q99" s="4">
        <f>IF(TRIM(Raw_Data!L99)="","Yes","No")</f>
        <v/>
      </c>
      <c r="R99" s="4">
        <f>IF(ISNUMBER(B99),"Valid","INVALID")</f>
        <v/>
      </c>
    </row>
    <row r="100">
      <c r="A100" s="4">
        <f>TRIM(Raw_Data!A100)</f>
        <v/>
      </c>
      <c r="B100" s="5">
        <f>Raw_Data!B100</f>
        <v/>
      </c>
      <c r="C100" s="4">
        <f>TRIM(Raw_Data!C100)</f>
        <v/>
      </c>
      <c r="D100" s="4">
        <f>PROPER(TRIM(Raw_Data!D100))</f>
        <v/>
      </c>
      <c r="E100" s="4">
        <f>Raw_Data!E100</f>
        <v/>
      </c>
      <c r="F100" s="6">
        <f>ROUND(Raw_Data!F100,2)</f>
        <v/>
      </c>
      <c r="G100" s="4">
        <f>PROPER(TRIM(Raw_Data!G100))</f>
        <v/>
      </c>
      <c r="H100" s="4">
        <f>PROPER(TRIM(Raw_Data!H100))</f>
        <v/>
      </c>
      <c r="I100" s="4">
        <f>PROPER(TRIM(Raw_Data!I100))</f>
        <v/>
      </c>
      <c r="J100" s="4">
        <f>TRIM(Raw_Data!J100)</f>
        <v/>
      </c>
      <c r="K100" s="4">
        <f>Raw_Data!K100</f>
        <v/>
      </c>
      <c r="L100" s="4">
        <f>IF(TRIM(Raw_Data!L100)="","No Coupon",TRIM(Raw_Data!L100))</f>
        <v/>
      </c>
      <c r="M100" s="4">
        <f>PROPER(TRIM(Raw_Data!M100))</f>
        <v/>
      </c>
      <c r="N100" s="6">
        <f>ROUND(Raw_Data!N100,2)</f>
        <v/>
      </c>
      <c r="O100" s="7">
        <f>IF(COUNTIF($A$2:$A$1201,A100)&gt;1,"DUPLICATE","Unique")</f>
        <v/>
      </c>
      <c r="P100" s="7">
        <f>IF(COUNTIF($J$2:$J$1201,J100)&gt;1,"DUPLICATE","Unique")</f>
        <v/>
      </c>
      <c r="Q100" s="4">
        <f>IF(TRIM(Raw_Data!L100)="","Yes","No")</f>
        <v/>
      </c>
      <c r="R100" s="4">
        <f>IF(ISNUMBER(B100),"Valid","INVALID")</f>
        <v/>
      </c>
    </row>
    <row r="101">
      <c r="A101" s="4">
        <f>TRIM(Raw_Data!A101)</f>
        <v/>
      </c>
      <c r="B101" s="5">
        <f>Raw_Data!B101</f>
        <v/>
      </c>
      <c r="C101" s="4">
        <f>TRIM(Raw_Data!C101)</f>
        <v/>
      </c>
      <c r="D101" s="4">
        <f>PROPER(TRIM(Raw_Data!D101))</f>
        <v/>
      </c>
      <c r="E101" s="4">
        <f>Raw_Data!E101</f>
        <v/>
      </c>
      <c r="F101" s="6">
        <f>ROUND(Raw_Data!F101,2)</f>
        <v/>
      </c>
      <c r="G101" s="4">
        <f>PROPER(TRIM(Raw_Data!G101))</f>
        <v/>
      </c>
      <c r="H101" s="4">
        <f>PROPER(TRIM(Raw_Data!H101))</f>
        <v/>
      </c>
      <c r="I101" s="4">
        <f>PROPER(TRIM(Raw_Data!I101))</f>
        <v/>
      </c>
      <c r="J101" s="4">
        <f>TRIM(Raw_Data!J101)</f>
        <v/>
      </c>
      <c r="K101" s="4">
        <f>Raw_Data!K101</f>
        <v/>
      </c>
      <c r="L101" s="4">
        <f>IF(TRIM(Raw_Data!L101)="","No Coupon",TRIM(Raw_Data!L101))</f>
        <v/>
      </c>
      <c r="M101" s="4">
        <f>PROPER(TRIM(Raw_Data!M101))</f>
        <v/>
      </c>
      <c r="N101" s="6">
        <f>ROUND(Raw_Data!N101,2)</f>
        <v/>
      </c>
      <c r="O101" s="7">
        <f>IF(COUNTIF($A$2:$A$1201,A101)&gt;1,"DUPLICATE","Unique")</f>
        <v/>
      </c>
      <c r="P101" s="7">
        <f>IF(COUNTIF($J$2:$J$1201,J101)&gt;1,"DUPLICATE","Unique")</f>
        <v/>
      </c>
      <c r="Q101" s="4">
        <f>IF(TRIM(Raw_Data!L101)="","Yes","No")</f>
        <v/>
      </c>
      <c r="R101" s="4">
        <f>IF(ISNUMBER(B101),"Valid","INVALID")</f>
        <v/>
      </c>
    </row>
    <row r="102">
      <c r="A102" s="4">
        <f>TRIM(Raw_Data!A102)</f>
        <v/>
      </c>
      <c r="B102" s="5">
        <f>Raw_Data!B102</f>
        <v/>
      </c>
      <c r="C102" s="4">
        <f>TRIM(Raw_Data!C102)</f>
        <v/>
      </c>
      <c r="D102" s="4">
        <f>PROPER(TRIM(Raw_Data!D102))</f>
        <v/>
      </c>
      <c r="E102" s="4">
        <f>Raw_Data!E102</f>
        <v/>
      </c>
      <c r="F102" s="6">
        <f>ROUND(Raw_Data!F102,2)</f>
        <v/>
      </c>
      <c r="G102" s="4">
        <f>PROPER(TRIM(Raw_Data!G102))</f>
        <v/>
      </c>
      <c r="H102" s="4">
        <f>PROPER(TRIM(Raw_Data!H102))</f>
        <v/>
      </c>
      <c r="I102" s="4">
        <f>PROPER(TRIM(Raw_Data!I102))</f>
        <v/>
      </c>
      <c r="J102" s="4">
        <f>TRIM(Raw_Data!J102)</f>
        <v/>
      </c>
      <c r="K102" s="4">
        <f>Raw_Data!K102</f>
        <v/>
      </c>
      <c r="L102" s="4">
        <f>IF(TRIM(Raw_Data!L102)="","No Coupon",TRIM(Raw_Data!L102))</f>
        <v/>
      </c>
      <c r="M102" s="4">
        <f>PROPER(TRIM(Raw_Data!M102))</f>
        <v/>
      </c>
      <c r="N102" s="6">
        <f>ROUND(Raw_Data!N102,2)</f>
        <v/>
      </c>
      <c r="O102" s="7">
        <f>IF(COUNTIF($A$2:$A$1201,A102)&gt;1,"DUPLICATE","Unique")</f>
        <v/>
      </c>
      <c r="P102" s="7">
        <f>IF(COUNTIF($J$2:$J$1201,J102)&gt;1,"DUPLICATE","Unique")</f>
        <v/>
      </c>
      <c r="Q102" s="4">
        <f>IF(TRIM(Raw_Data!L102)="","Yes","No")</f>
        <v/>
      </c>
      <c r="R102" s="4">
        <f>IF(ISNUMBER(B102),"Valid","INVALID")</f>
        <v/>
      </c>
    </row>
    <row r="103">
      <c r="A103" s="4">
        <f>TRIM(Raw_Data!A103)</f>
        <v/>
      </c>
      <c r="B103" s="5">
        <f>Raw_Data!B103</f>
        <v/>
      </c>
      <c r="C103" s="4">
        <f>TRIM(Raw_Data!C103)</f>
        <v/>
      </c>
      <c r="D103" s="4">
        <f>PROPER(TRIM(Raw_Data!D103))</f>
        <v/>
      </c>
      <c r="E103" s="4">
        <f>Raw_Data!E103</f>
        <v/>
      </c>
      <c r="F103" s="6">
        <f>ROUND(Raw_Data!F103,2)</f>
        <v/>
      </c>
      <c r="G103" s="4">
        <f>PROPER(TRIM(Raw_Data!G103))</f>
        <v/>
      </c>
      <c r="H103" s="4">
        <f>PROPER(TRIM(Raw_Data!H103))</f>
        <v/>
      </c>
      <c r="I103" s="4">
        <f>PROPER(TRIM(Raw_Data!I103))</f>
        <v/>
      </c>
      <c r="J103" s="4">
        <f>TRIM(Raw_Data!J103)</f>
        <v/>
      </c>
      <c r="K103" s="4">
        <f>Raw_Data!K103</f>
        <v/>
      </c>
      <c r="L103" s="4">
        <f>IF(TRIM(Raw_Data!L103)="","No Coupon",TRIM(Raw_Data!L103))</f>
        <v/>
      </c>
      <c r="M103" s="4">
        <f>PROPER(TRIM(Raw_Data!M103))</f>
        <v/>
      </c>
      <c r="N103" s="6">
        <f>ROUND(Raw_Data!N103,2)</f>
        <v/>
      </c>
      <c r="O103" s="7">
        <f>IF(COUNTIF($A$2:$A$1201,A103)&gt;1,"DUPLICATE","Unique")</f>
        <v/>
      </c>
      <c r="P103" s="7">
        <f>IF(COUNTIF($J$2:$J$1201,J103)&gt;1,"DUPLICATE","Unique")</f>
        <v/>
      </c>
      <c r="Q103" s="4">
        <f>IF(TRIM(Raw_Data!L103)="","Yes","No")</f>
        <v/>
      </c>
      <c r="R103" s="4">
        <f>IF(ISNUMBER(B103),"Valid","INVALID")</f>
        <v/>
      </c>
    </row>
    <row r="104">
      <c r="A104" s="4">
        <f>TRIM(Raw_Data!A104)</f>
        <v/>
      </c>
      <c r="B104" s="5">
        <f>Raw_Data!B104</f>
        <v/>
      </c>
      <c r="C104" s="4">
        <f>TRIM(Raw_Data!C104)</f>
        <v/>
      </c>
      <c r="D104" s="4">
        <f>PROPER(TRIM(Raw_Data!D104))</f>
        <v/>
      </c>
      <c r="E104" s="4">
        <f>Raw_Data!E104</f>
        <v/>
      </c>
      <c r="F104" s="6">
        <f>ROUND(Raw_Data!F104,2)</f>
        <v/>
      </c>
      <c r="G104" s="4">
        <f>PROPER(TRIM(Raw_Data!G104))</f>
        <v/>
      </c>
      <c r="H104" s="4">
        <f>PROPER(TRIM(Raw_Data!H104))</f>
        <v/>
      </c>
      <c r="I104" s="4">
        <f>PROPER(TRIM(Raw_Data!I104))</f>
        <v/>
      </c>
      <c r="J104" s="4">
        <f>TRIM(Raw_Data!J104)</f>
        <v/>
      </c>
      <c r="K104" s="4">
        <f>Raw_Data!K104</f>
        <v/>
      </c>
      <c r="L104" s="4">
        <f>IF(TRIM(Raw_Data!L104)="","No Coupon",TRIM(Raw_Data!L104))</f>
        <v/>
      </c>
      <c r="M104" s="4">
        <f>PROPER(TRIM(Raw_Data!M104))</f>
        <v/>
      </c>
      <c r="N104" s="6">
        <f>ROUND(Raw_Data!N104,2)</f>
        <v/>
      </c>
      <c r="O104" s="7">
        <f>IF(COUNTIF($A$2:$A$1201,A104)&gt;1,"DUPLICATE","Unique")</f>
        <v/>
      </c>
      <c r="P104" s="7">
        <f>IF(COUNTIF($J$2:$J$1201,J104)&gt;1,"DUPLICATE","Unique")</f>
        <v/>
      </c>
      <c r="Q104" s="4">
        <f>IF(TRIM(Raw_Data!L104)="","Yes","No")</f>
        <v/>
      </c>
      <c r="R104" s="4">
        <f>IF(ISNUMBER(B104),"Valid","INVALID")</f>
        <v/>
      </c>
    </row>
    <row r="105">
      <c r="A105" s="4">
        <f>TRIM(Raw_Data!A105)</f>
        <v/>
      </c>
      <c r="B105" s="5">
        <f>Raw_Data!B105</f>
        <v/>
      </c>
      <c r="C105" s="4">
        <f>TRIM(Raw_Data!C105)</f>
        <v/>
      </c>
      <c r="D105" s="4">
        <f>PROPER(TRIM(Raw_Data!D105))</f>
        <v/>
      </c>
      <c r="E105" s="4">
        <f>Raw_Data!E105</f>
        <v/>
      </c>
      <c r="F105" s="6">
        <f>ROUND(Raw_Data!F105,2)</f>
        <v/>
      </c>
      <c r="G105" s="4">
        <f>PROPER(TRIM(Raw_Data!G105))</f>
        <v/>
      </c>
      <c r="H105" s="4">
        <f>PROPER(TRIM(Raw_Data!H105))</f>
        <v/>
      </c>
      <c r="I105" s="4">
        <f>PROPER(TRIM(Raw_Data!I105))</f>
        <v/>
      </c>
      <c r="J105" s="4">
        <f>TRIM(Raw_Data!J105)</f>
        <v/>
      </c>
      <c r="K105" s="4">
        <f>Raw_Data!K105</f>
        <v/>
      </c>
      <c r="L105" s="4">
        <f>IF(TRIM(Raw_Data!L105)="","No Coupon",TRIM(Raw_Data!L105))</f>
        <v/>
      </c>
      <c r="M105" s="4">
        <f>PROPER(TRIM(Raw_Data!M105))</f>
        <v/>
      </c>
      <c r="N105" s="6">
        <f>ROUND(Raw_Data!N105,2)</f>
        <v/>
      </c>
      <c r="O105" s="7">
        <f>IF(COUNTIF($A$2:$A$1201,A105)&gt;1,"DUPLICATE","Unique")</f>
        <v/>
      </c>
      <c r="P105" s="7">
        <f>IF(COUNTIF($J$2:$J$1201,J105)&gt;1,"DUPLICATE","Unique")</f>
        <v/>
      </c>
      <c r="Q105" s="4">
        <f>IF(TRIM(Raw_Data!L105)="","Yes","No")</f>
        <v/>
      </c>
      <c r="R105" s="4">
        <f>IF(ISNUMBER(B105),"Valid","INVALID")</f>
        <v/>
      </c>
    </row>
    <row r="106">
      <c r="A106" s="4">
        <f>TRIM(Raw_Data!A106)</f>
        <v/>
      </c>
      <c r="B106" s="5">
        <f>Raw_Data!B106</f>
        <v/>
      </c>
      <c r="C106" s="4">
        <f>TRIM(Raw_Data!C106)</f>
        <v/>
      </c>
      <c r="D106" s="4">
        <f>PROPER(TRIM(Raw_Data!D106))</f>
        <v/>
      </c>
      <c r="E106" s="4">
        <f>Raw_Data!E106</f>
        <v/>
      </c>
      <c r="F106" s="6">
        <f>ROUND(Raw_Data!F106,2)</f>
        <v/>
      </c>
      <c r="G106" s="4">
        <f>PROPER(TRIM(Raw_Data!G106))</f>
        <v/>
      </c>
      <c r="H106" s="4">
        <f>PROPER(TRIM(Raw_Data!H106))</f>
        <v/>
      </c>
      <c r="I106" s="4">
        <f>PROPER(TRIM(Raw_Data!I106))</f>
        <v/>
      </c>
      <c r="J106" s="4">
        <f>TRIM(Raw_Data!J106)</f>
        <v/>
      </c>
      <c r="K106" s="4">
        <f>Raw_Data!K106</f>
        <v/>
      </c>
      <c r="L106" s="4">
        <f>IF(TRIM(Raw_Data!L106)="","No Coupon",TRIM(Raw_Data!L106))</f>
        <v/>
      </c>
      <c r="M106" s="4">
        <f>PROPER(TRIM(Raw_Data!M106))</f>
        <v/>
      </c>
      <c r="N106" s="6">
        <f>ROUND(Raw_Data!N106,2)</f>
        <v/>
      </c>
      <c r="O106" s="7">
        <f>IF(COUNTIF($A$2:$A$1201,A106)&gt;1,"DUPLICATE","Unique")</f>
        <v/>
      </c>
      <c r="P106" s="7">
        <f>IF(COUNTIF($J$2:$J$1201,J106)&gt;1,"DUPLICATE","Unique")</f>
        <v/>
      </c>
      <c r="Q106" s="4">
        <f>IF(TRIM(Raw_Data!L106)="","Yes","No")</f>
        <v/>
      </c>
      <c r="R106" s="4">
        <f>IF(ISNUMBER(B106),"Valid","INVALID")</f>
        <v/>
      </c>
    </row>
    <row r="107">
      <c r="A107" s="4">
        <f>TRIM(Raw_Data!A107)</f>
        <v/>
      </c>
      <c r="B107" s="5">
        <f>Raw_Data!B107</f>
        <v/>
      </c>
      <c r="C107" s="4">
        <f>TRIM(Raw_Data!C107)</f>
        <v/>
      </c>
      <c r="D107" s="4">
        <f>PROPER(TRIM(Raw_Data!D107))</f>
        <v/>
      </c>
      <c r="E107" s="4">
        <f>Raw_Data!E107</f>
        <v/>
      </c>
      <c r="F107" s="6">
        <f>ROUND(Raw_Data!F107,2)</f>
        <v/>
      </c>
      <c r="G107" s="4">
        <f>PROPER(TRIM(Raw_Data!G107))</f>
        <v/>
      </c>
      <c r="H107" s="4">
        <f>PROPER(TRIM(Raw_Data!H107))</f>
        <v/>
      </c>
      <c r="I107" s="4">
        <f>PROPER(TRIM(Raw_Data!I107))</f>
        <v/>
      </c>
      <c r="J107" s="4">
        <f>TRIM(Raw_Data!J107)</f>
        <v/>
      </c>
      <c r="K107" s="4">
        <f>Raw_Data!K107</f>
        <v/>
      </c>
      <c r="L107" s="4">
        <f>IF(TRIM(Raw_Data!L107)="","No Coupon",TRIM(Raw_Data!L107))</f>
        <v/>
      </c>
      <c r="M107" s="4">
        <f>PROPER(TRIM(Raw_Data!M107))</f>
        <v/>
      </c>
      <c r="N107" s="6">
        <f>ROUND(Raw_Data!N107,2)</f>
        <v/>
      </c>
      <c r="O107" s="7">
        <f>IF(COUNTIF($A$2:$A$1201,A107)&gt;1,"DUPLICATE","Unique")</f>
        <v/>
      </c>
      <c r="P107" s="7">
        <f>IF(COUNTIF($J$2:$J$1201,J107)&gt;1,"DUPLICATE","Unique")</f>
        <v/>
      </c>
      <c r="Q107" s="4">
        <f>IF(TRIM(Raw_Data!L107)="","Yes","No")</f>
        <v/>
      </c>
      <c r="R107" s="4">
        <f>IF(ISNUMBER(B107),"Valid","INVALID")</f>
        <v/>
      </c>
    </row>
    <row r="108">
      <c r="A108" s="4">
        <f>TRIM(Raw_Data!A108)</f>
        <v/>
      </c>
      <c r="B108" s="5">
        <f>Raw_Data!B108</f>
        <v/>
      </c>
      <c r="C108" s="4">
        <f>TRIM(Raw_Data!C108)</f>
        <v/>
      </c>
      <c r="D108" s="4">
        <f>PROPER(TRIM(Raw_Data!D108))</f>
        <v/>
      </c>
      <c r="E108" s="4">
        <f>Raw_Data!E108</f>
        <v/>
      </c>
      <c r="F108" s="6">
        <f>ROUND(Raw_Data!F108,2)</f>
        <v/>
      </c>
      <c r="G108" s="4">
        <f>PROPER(TRIM(Raw_Data!G108))</f>
        <v/>
      </c>
      <c r="H108" s="4">
        <f>PROPER(TRIM(Raw_Data!H108))</f>
        <v/>
      </c>
      <c r="I108" s="4">
        <f>PROPER(TRIM(Raw_Data!I108))</f>
        <v/>
      </c>
      <c r="J108" s="4">
        <f>TRIM(Raw_Data!J108)</f>
        <v/>
      </c>
      <c r="K108" s="4">
        <f>Raw_Data!K108</f>
        <v/>
      </c>
      <c r="L108" s="4">
        <f>IF(TRIM(Raw_Data!L108)="","No Coupon",TRIM(Raw_Data!L108))</f>
        <v/>
      </c>
      <c r="M108" s="4">
        <f>PROPER(TRIM(Raw_Data!M108))</f>
        <v/>
      </c>
      <c r="N108" s="6">
        <f>ROUND(Raw_Data!N108,2)</f>
        <v/>
      </c>
      <c r="O108" s="7">
        <f>IF(COUNTIF($A$2:$A$1201,A108)&gt;1,"DUPLICATE","Unique")</f>
        <v/>
      </c>
      <c r="P108" s="7">
        <f>IF(COUNTIF($J$2:$J$1201,J108)&gt;1,"DUPLICATE","Unique")</f>
        <v/>
      </c>
      <c r="Q108" s="4">
        <f>IF(TRIM(Raw_Data!L108)="","Yes","No")</f>
        <v/>
      </c>
      <c r="R108" s="4">
        <f>IF(ISNUMBER(B108),"Valid","INVALID")</f>
        <v/>
      </c>
    </row>
    <row r="109">
      <c r="A109" s="4">
        <f>TRIM(Raw_Data!A109)</f>
        <v/>
      </c>
      <c r="B109" s="5">
        <f>Raw_Data!B109</f>
        <v/>
      </c>
      <c r="C109" s="4">
        <f>TRIM(Raw_Data!C109)</f>
        <v/>
      </c>
      <c r="D109" s="4">
        <f>PROPER(TRIM(Raw_Data!D109))</f>
        <v/>
      </c>
      <c r="E109" s="4">
        <f>Raw_Data!E109</f>
        <v/>
      </c>
      <c r="F109" s="6">
        <f>ROUND(Raw_Data!F109,2)</f>
        <v/>
      </c>
      <c r="G109" s="4">
        <f>PROPER(TRIM(Raw_Data!G109))</f>
        <v/>
      </c>
      <c r="H109" s="4">
        <f>PROPER(TRIM(Raw_Data!H109))</f>
        <v/>
      </c>
      <c r="I109" s="4">
        <f>PROPER(TRIM(Raw_Data!I109))</f>
        <v/>
      </c>
      <c r="J109" s="4">
        <f>TRIM(Raw_Data!J109)</f>
        <v/>
      </c>
      <c r="K109" s="4">
        <f>Raw_Data!K109</f>
        <v/>
      </c>
      <c r="L109" s="4">
        <f>IF(TRIM(Raw_Data!L109)="","No Coupon",TRIM(Raw_Data!L109))</f>
        <v/>
      </c>
      <c r="M109" s="4">
        <f>PROPER(TRIM(Raw_Data!M109))</f>
        <v/>
      </c>
      <c r="N109" s="6">
        <f>ROUND(Raw_Data!N109,2)</f>
        <v/>
      </c>
      <c r="O109" s="7">
        <f>IF(COUNTIF($A$2:$A$1201,A109)&gt;1,"DUPLICATE","Unique")</f>
        <v/>
      </c>
      <c r="P109" s="7">
        <f>IF(COUNTIF($J$2:$J$1201,J109)&gt;1,"DUPLICATE","Unique")</f>
        <v/>
      </c>
      <c r="Q109" s="4">
        <f>IF(TRIM(Raw_Data!L109)="","Yes","No")</f>
        <v/>
      </c>
      <c r="R109" s="4">
        <f>IF(ISNUMBER(B109),"Valid","INVALID")</f>
        <v/>
      </c>
    </row>
    <row r="110">
      <c r="A110" s="4">
        <f>TRIM(Raw_Data!A110)</f>
        <v/>
      </c>
      <c r="B110" s="5">
        <f>Raw_Data!B110</f>
        <v/>
      </c>
      <c r="C110" s="4">
        <f>TRIM(Raw_Data!C110)</f>
        <v/>
      </c>
      <c r="D110" s="4">
        <f>PROPER(TRIM(Raw_Data!D110))</f>
        <v/>
      </c>
      <c r="E110" s="4">
        <f>Raw_Data!E110</f>
        <v/>
      </c>
      <c r="F110" s="6">
        <f>ROUND(Raw_Data!F110,2)</f>
        <v/>
      </c>
      <c r="G110" s="4">
        <f>PROPER(TRIM(Raw_Data!G110))</f>
        <v/>
      </c>
      <c r="H110" s="4">
        <f>PROPER(TRIM(Raw_Data!H110))</f>
        <v/>
      </c>
      <c r="I110" s="4">
        <f>PROPER(TRIM(Raw_Data!I110))</f>
        <v/>
      </c>
      <c r="J110" s="4">
        <f>TRIM(Raw_Data!J110)</f>
        <v/>
      </c>
      <c r="K110" s="4">
        <f>Raw_Data!K110</f>
        <v/>
      </c>
      <c r="L110" s="4">
        <f>IF(TRIM(Raw_Data!L110)="","No Coupon",TRIM(Raw_Data!L110))</f>
        <v/>
      </c>
      <c r="M110" s="4">
        <f>PROPER(TRIM(Raw_Data!M110))</f>
        <v/>
      </c>
      <c r="N110" s="6">
        <f>ROUND(Raw_Data!N110,2)</f>
        <v/>
      </c>
      <c r="O110" s="7">
        <f>IF(COUNTIF($A$2:$A$1201,A110)&gt;1,"DUPLICATE","Unique")</f>
        <v/>
      </c>
      <c r="P110" s="7">
        <f>IF(COUNTIF($J$2:$J$1201,J110)&gt;1,"DUPLICATE","Unique")</f>
        <v/>
      </c>
      <c r="Q110" s="4">
        <f>IF(TRIM(Raw_Data!L110)="","Yes","No")</f>
        <v/>
      </c>
      <c r="R110" s="4">
        <f>IF(ISNUMBER(B110),"Valid","INVALID")</f>
        <v/>
      </c>
    </row>
    <row r="111">
      <c r="A111" s="4">
        <f>TRIM(Raw_Data!A111)</f>
        <v/>
      </c>
      <c r="B111" s="5">
        <f>Raw_Data!B111</f>
        <v/>
      </c>
      <c r="C111" s="4">
        <f>TRIM(Raw_Data!C111)</f>
        <v/>
      </c>
      <c r="D111" s="4">
        <f>PROPER(TRIM(Raw_Data!D111))</f>
        <v/>
      </c>
      <c r="E111" s="4">
        <f>Raw_Data!E111</f>
        <v/>
      </c>
      <c r="F111" s="6">
        <f>ROUND(Raw_Data!F111,2)</f>
        <v/>
      </c>
      <c r="G111" s="4">
        <f>PROPER(TRIM(Raw_Data!G111))</f>
        <v/>
      </c>
      <c r="H111" s="4">
        <f>PROPER(TRIM(Raw_Data!H111))</f>
        <v/>
      </c>
      <c r="I111" s="4">
        <f>PROPER(TRIM(Raw_Data!I111))</f>
        <v/>
      </c>
      <c r="J111" s="4">
        <f>TRIM(Raw_Data!J111)</f>
        <v/>
      </c>
      <c r="K111" s="4">
        <f>Raw_Data!K111</f>
        <v/>
      </c>
      <c r="L111" s="4">
        <f>IF(TRIM(Raw_Data!L111)="","No Coupon",TRIM(Raw_Data!L111))</f>
        <v/>
      </c>
      <c r="M111" s="4">
        <f>PROPER(TRIM(Raw_Data!M111))</f>
        <v/>
      </c>
      <c r="N111" s="6">
        <f>ROUND(Raw_Data!N111,2)</f>
        <v/>
      </c>
      <c r="O111" s="7">
        <f>IF(COUNTIF($A$2:$A$1201,A111)&gt;1,"DUPLICATE","Unique")</f>
        <v/>
      </c>
      <c r="P111" s="7">
        <f>IF(COUNTIF($J$2:$J$1201,J111)&gt;1,"DUPLICATE","Unique")</f>
        <v/>
      </c>
      <c r="Q111" s="4">
        <f>IF(TRIM(Raw_Data!L111)="","Yes","No")</f>
        <v/>
      </c>
      <c r="R111" s="4">
        <f>IF(ISNUMBER(B111),"Valid","INVALID")</f>
        <v/>
      </c>
    </row>
    <row r="112">
      <c r="A112" s="4">
        <f>TRIM(Raw_Data!A112)</f>
        <v/>
      </c>
      <c r="B112" s="5">
        <f>Raw_Data!B112</f>
        <v/>
      </c>
      <c r="C112" s="4">
        <f>TRIM(Raw_Data!C112)</f>
        <v/>
      </c>
      <c r="D112" s="4">
        <f>PROPER(TRIM(Raw_Data!D112))</f>
        <v/>
      </c>
      <c r="E112" s="4">
        <f>Raw_Data!E112</f>
        <v/>
      </c>
      <c r="F112" s="6">
        <f>ROUND(Raw_Data!F112,2)</f>
        <v/>
      </c>
      <c r="G112" s="4">
        <f>PROPER(TRIM(Raw_Data!G112))</f>
        <v/>
      </c>
      <c r="H112" s="4">
        <f>PROPER(TRIM(Raw_Data!H112))</f>
        <v/>
      </c>
      <c r="I112" s="4">
        <f>PROPER(TRIM(Raw_Data!I112))</f>
        <v/>
      </c>
      <c r="J112" s="4">
        <f>TRIM(Raw_Data!J112)</f>
        <v/>
      </c>
      <c r="K112" s="4">
        <f>Raw_Data!K112</f>
        <v/>
      </c>
      <c r="L112" s="4">
        <f>IF(TRIM(Raw_Data!L112)="","No Coupon",TRIM(Raw_Data!L112))</f>
        <v/>
      </c>
      <c r="M112" s="4">
        <f>PROPER(TRIM(Raw_Data!M112))</f>
        <v/>
      </c>
      <c r="N112" s="6">
        <f>ROUND(Raw_Data!N112,2)</f>
        <v/>
      </c>
      <c r="O112" s="7">
        <f>IF(COUNTIF($A$2:$A$1201,A112)&gt;1,"DUPLICATE","Unique")</f>
        <v/>
      </c>
      <c r="P112" s="7">
        <f>IF(COUNTIF($J$2:$J$1201,J112)&gt;1,"DUPLICATE","Unique")</f>
        <v/>
      </c>
      <c r="Q112" s="4">
        <f>IF(TRIM(Raw_Data!L112)="","Yes","No")</f>
        <v/>
      </c>
      <c r="R112" s="4">
        <f>IF(ISNUMBER(B112),"Valid","INVALID")</f>
        <v/>
      </c>
    </row>
    <row r="113">
      <c r="A113" s="4">
        <f>TRIM(Raw_Data!A113)</f>
        <v/>
      </c>
      <c r="B113" s="5">
        <f>Raw_Data!B113</f>
        <v/>
      </c>
      <c r="C113" s="4">
        <f>TRIM(Raw_Data!C113)</f>
        <v/>
      </c>
      <c r="D113" s="4">
        <f>PROPER(TRIM(Raw_Data!D113))</f>
        <v/>
      </c>
      <c r="E113" s="4">
        <f>Raw_Data!E113</f>
        <v/>
      </c>
      <c r="F113" s="6">
        <f>ROUND(Raw_Data!F113,2)</f>
        <v/>
      </c>
      <c r="G113" s="4">
        <f>PROPER(TRIM(Raw_Data!G113))</f>
        <v/>
      </c>
      <c r="H113" s="4">
        <f>PROPER(TRIM(Raw_Data!H113))</f>
        <v/>
      </c>
      <c r="I113" s="4">
        <f>PROPER(TRIM(Raw_Data!I113))</f>
        <v/>
      </c>
      <c r="J113" s="4">
        <f>TRIM(Raw_Data!J113)</f>
        <v/>
      </c>
      <c r="K113" s="4">
        <f>Raw_Data!K113</f>
        <v/>
      </c>
      <c r="L113" s="4">
        <f>IF(TRIM(Raw_Data!L113)="","No Coupon",TRIM(Raw_Data!L113))</f>
        <v/>
      </c>
      <c r="M113" s="4">
        <f>PROPER(TRIM(Raw_Data!M113))</f>
        <v/>
      </c>
      <c r="N113" s="6">
        <f>ROUND(Raw_Data!N113,2)</f>
        <v/>
      </c>
      <c r="O113" s="7">
        <f>IF(COUNTIF($A$2:$A$1201,A113)&gt;1,"DUPLICATE","Unique")</f>
        <v/>
      </c>
      <c r="P113" s="7">
        <f>IF(COUNTIF($J$2:$J$1201,J113)&gt;1,"DUPLICATE","Unique")</f>
        <v/>
      </c>
      <c r="Q113" s="4">
        <f>IF(TRIM(Raw_Data!L113)="","Yes","No")</f>
        <v/>
      </c>
      <c r="R113" s="4">
        <f>IF(ISNUMBER(B113),"Valid","INVALID")</f>
        <v/>
      </c>
    </row>
    <row r="114">
      <c r="A114" s="4">
        <f>TRIM(Raw_Data!A114)</f>
        <v/>
      </c>
      <c r="B114" s="5">
        <f>Raw_Data!B114</f>
        <v/>
      </c>
      <c r="C114" s="4">
        <f>TRIM(Raw_Data!C114)</f>
        <v/>
      </c>
      <c r="D114" s="4">
        <f>PROPER(TRIM(Raw_Data!D114))</f>
        <v/>
      </c>
      <c r="E114" s="4">
        <f>Raw_Data!E114</f>
        <v/>
      </c>
      <c r="F114" s="6">
        <f>ROUND(Raw_Data!F114,2)</f>
        <v/>
      </c>
      <c r="G114" s="4">
        <f>PROPER(TRIM(Raw_Data!G114))</f>
        <v/>
      </c>
      <c r="H114" s="4">
        <f>PROPER(TRIM(Raw_Data!H114))</f>
        <v/>
      </c>
      <c r="I114" s="4">
        <f>PROPER(TRIM(Raw_Data!I114))</f>
        <v/>
      </c>
      <c r="J114" s="4">
        <f>TRIM(Raw_Data!J114)</f>
        <v/>
      </c>
      <c r="K114" s="4">
        <f>Raw_Data!K114</f>
        <v/>
      </c>
      <c r="L114" s="4">
        <f>IF(TRIM(Raw_Data!L114)="","No Coupon",TRIM(Raw_Data!L114))</f>
        <v/>
      </c>
      <c r="M114" s="4">
        <f>PROPER(TRIM(Raw_Data!M114))</f>
        <v/>
      </c>
      <c r="N114" s="6">
        <f>ROUND(Raw_Data!N114,2)</f>
        <v/>
      </c>
      <c r="O114" s="7">
        <f>IF(COUNTIF($A$2:$A$1201,A114)&gt;1,"DUPLICATE","Unique")</f>
        <v/>
      </c>
      <c r="P114" s="7">
        <f>IF(COUNTIF($J$2:$J$1201,J114)&gt;1,"DUPLICATE","Unique")</f>
        <v/>
      </c>
      <c r="Q114" s="4">
        <f>IF(TRIM(Raw_Data!L114)="","Yes","No")</f>
        <v/>
      </c>
      <c r="R114" s="4">
        <f>IF(ISNUMBER(B114),"Valid","INVALID")</f>
        <v/>
      </c>
    </row>
    <row r="115">
      <c r="A115" s="4">
        <f>TRIM(Raw_Data!A115)</f>
        <v/>
      </c>
      <c r="B115" s="5">
        <f>Raw_Data!B115</f>
        <v/>
      </c>
      <c r="C115" s="4">
        <f>TRIM(Raw_Data!C115)</f>
        <v/>
      </c>
      <c r="D115" s="4">
        <f>PROPER(TRIM(Raw_Data!D115))</f>
        <v/>
      </c>
      <c r="E115" s="4">
        <f>Raw_Data!E115</f>
        <v/>
      </c>
      <c r="F115" s="6">
        <f>ROUND(Raw_Data!F115,2)</f>
        <v/>
      </c>
      <c r="G115" s="4">
        <f>PROPER(TRIM(Raw_Data!G115))</f>
        <v/>
      </c>
      <c r="H115" s="4">
        <f>PROPER(TRIM(Raw_Data!H115))</f>
        <v/>
      </c>
      <c r="I115" s="4">
        <f>PROPER(TRIM(Raw_Data!I115))</f>
        <v/>
      </c>
      <c r="J115" s="4">
        <f>TRIM(Raw_Data!J115)</f>
        <v/>
      </c>
      <c r="K115" s="4">
        <f>Raw_Data!K115</f>
        <v/>
      </c>
      <c r="L115" s="4">
        <f>IF(TRIM(Raw_Data!L115)="","No Coupon",TRIM(Raw_Data!L115))</f>
        <v/>
      </c>
      <c r="M115" s="4">
        <f>PROPER(TRIM(Raw_Data!M115))</f>
        <v/>
      </c>
      <c r="N115" s="6">
        <f>ROUND(Raw_Data!N115,2)</f>
        <v/>
      </c>
      <c r="O115" s="7">
        <f>IF(COUNTIF($A$2:$A$1201,A115)&gt;1,"DUPLICATE","Unique")</f>
        <v/>
      </c>
      <c r="P115" s="7">
        <f>IF(COUNTIF($J$2:$J$1201,J115)&gt;1,"DUPLICATE","Unique")</f>
        <v/>
      </c>
      <c r="Q115" s="4">
        <f>IF(TRIM(Raw_Data!L115)="","Yes","No")</f>
        <v/>
      </c>
      <c r="R115" s="4">
        <f>IF(ISNUMBER(B115),"Valid","INVALID")</f>
        <v/>
      </c>
    </row>
    <row r="116">
      <c r="A116" s="4">
        <f>TRIM(Raw_Data!A116)</f>
        <v/>
      </c>
      <c r="B116" s="5">
        <f>Raw_Data!B116</f>
        <v/>
      </c>
      <c r="C116" s="4">
        <f>TRIM(Raw_Data!C116)</f>
        <v/>
      </c>
      <c r="D116" s="4">
        <f>PROPER(TRIM(Raw_Data!D116))</f>
        <v/>
      </c>
      <c r="E116" s="4">
        <f>Raw_Data!E116</f>
        <v/>
      </c>
      <c r="F116" s="6">
        <f>ROUND(Raw_Data!F116,2)</f>
        <v/>
      </c>
      <c r="G116" s="4">
        <f>PROPER(TRIM(Raw_Data!G116))</f>
        <v/>
      </c>
      <c r="H116" s="4">
        <f>PROPER(TRIM(Raw_Data!H116))</f>
        <v/>
      </c>
      <c r="I116" s="4">
        <f>PROPER(TRIM(Raw_Data!I116))</f>
        <v/>
      </c>
      <c r="J116" s="4">
        <f>TRIM(Raw_Data!J116)</f>
        <v/>
      </c>
      <c r="K116" s="4">
        <f>Raw_Data!K116</f>
        <v/>
      </c>
      <c r="L116" s="4">
        <f>IF(TRIM(Raw_Data!L116)="","No Coupon",TRIM(Raw_Data!L116))</f>
        <v/>
      </c>
      <c r="M116" s="4">
        <f>PROPER(TRIM(Raw_Data!M116))</f>
        <v/>
      </c>
      <c r="N116" s="6">
        <f>ROUND(Raw_Data!N116,2)</f>
        <v/>
      </c>
      <c r="O116" s="7">
        <f>IF(COUNTIF($A$2:$A$1201,A116)&gt;1,"DUPLICATE","Unique")</f>
        <v/>
      </c>
      <c r="P116" s="7">
        <f>IF(COUNTIF($J$2:$J$1201,J116)&gt;1,"DUPLICATE","Unique")</f>
        <v/>
      </c>
      <c r="Q116" s="4">
        <f>IF(TRIM(Raw_Data!L116)="","Yes","No")</f>
        <v/>
      </c>
      <c r="R116" s="4">
        <f>IF(ISNUMBER(B116),"Valid","INVALID")</f>
        <v/>
      </c>
    </row>
    <row r="117">
      <c r="A117" s="4">
        <f>TRIM(Raw_Data!A117)</f>
        <v/>
      </c>
      <c r="B117" s="5">
        <f>Raw_Data!B117</f>
        <v/>
      </c>
      <c r="C117" s="4">
        <f>TRIM(Raw_Data!C117)</f>
        <v/>
      </c>
      <c r="D117" s="4">
        <f>PROPER(TRIM(Raw_Data!D117))</f>
        <v/>
      </c>
      <c r="E117" s="4">
        <f>Raw_Data!E117</f>
        <v/>
      </c>
      <c r="F117" s="6">
        <f>ROUND(Raw_Data!F117,2)</f>
        <v/>
      </c>
      <c r="G117" s="4">
        <f>PROPER(TRIM(Raw_Data!G117))</f>
        <v/>
      </c>
      <c r="H117" s="4">
        <f>PROPER(TRIM(Raw_Data!H117))</f>
        <v/>
      </c>
      <c r="I117" s="4">
        <f>PROPER(TRIM(Raw_Data!I117))</f>
        <v/>
      </c>
      <c r="J117" s="4">
        <f>TRIM(Raw_Data!J117)</f>
        <v/>
      </c>
      <c r="K117" s="4">
        <f>Raw_Data!K117</f>
        <v/>
      </c>
      <c r="L117" s="4">
        <f>IF(TRIM(Raw_Data!L117)="","No Coupon",TRIM(Raw_Data!L117))</f>
        <v/>
      </c>
      <c r="M117" s="4">
        <f>PROPER(TRIM(Raw_Data!M117))</f>
        <v/>
      </c>
      <c r="N117" s="6">
        <f>ROUND(Raw_Data!N117,2)</f>
        <v/>
      </c>
      <c r="O117" s="7">
        <f>IF(COUNTIF($A$2:$A$1201,A117)&gt;1,"DUPLICATE","Unique")</f>
        <v/>
      </c>
      <c r="P117" s="7">
        <f>IF(COUNTIF($J$2:$J$1201,J117)&gt;1,"DUPLICATE","Unique")</f>
        <v/>
      </c>
      <c r="Q117" s="4">
        <f>IF(TRIM(Raw_Data!L117)="","Yes","No")</f>
        <v/>
      </c>
      <c r="R117" s="4">
        <f>IF(ISNUMBER(B117),"Valid","INVALID")</f>
        <v/>
      </c>
    </row>
    <row r="118">
      <c r="A118" s="4">
        <f>TRIM(Raw_Data!A118)</f>
        <v/>
      </c>
      <c r="B118" s="5">
        <f>Raw_Data!B118</f>
        <v/>
      </c>
      <c r="C118" s="4">
        <f>TRIM(Raw_Data!C118)</f>
        <v/>
      </c>
      <c r="D118" s="4">
        <f>PROPER(TRIM(Raw_Data!D118))</f>
        <v/>
      </c>
      <c r="E118" s="4">
        <f>Raw_Data!E118</f>
        <v/>
      </c>
      <c r="F118" s="6">
        <f>ROUND(Raw_Data!F118,2)</f>
        <v/>
      </c>
      <c r="G118" s="4">
        <f>PROPER(TRIM(Raw_Data!G118))</f>
        <v/>
      </c>
      <c r="H118" s="4">
        <f>PROPER(TRIM(Raw_Data!H118))</f>
        <v/>
      </c>
      <c r="I118" s="4">
        <f>PROPER(TRIM(Raw_Data!I118))</f>
        <v/>
      </c>
      <c r="J118" s="4">
        <f>TRIM(Raw_Data!J118)</f>
        <v/>
      </c>
      <c r="K118" s="4">
        <f>Raw_Data!K118</f>
        <v/>
      </c>
      <c r="L118" s="4">
        <f>IF(TRIM(Raw_Data!L118)="","No Coupon",TRIM(Raw_Data!L118))</f>
        <v/>
      </c>
      <c r="M118" s="4">
        <f>PROPER(TRIM(Raw_Data!M118))</f>
        <v/>
      </c>
      <c r="N118" s="6">
        <f>ROUND(Raw_Data!N118,2)</f>
        <v/>
      </c>
      <c r="O118" s="7">
        <f>IF(COUNTIF($A$2:$A$1201,A118)&gt;1,"DUPLICATE","Unique")</f>
        <v/>
      </c>
      <c r="P118" s="7">
        <f>IF(COUNTIF($J$2:$J$1201,J118)&gt;1,"DUPLICATE","Unique")</f>
        <v/>
      </c>
      <c r="Q118" s="4">
        <f>IF(TRIM(Raw_Data!L118)="","Yes","No")</f>
        <v/>
      </c>
      <c r="R118" s="4">
        <f>IF(ISNUMBER(B118),"Valid","INVALID")</f>
        <v/>
      </c>
    </row>
    <row r="119">
      <c r="A119" s="4">
        <f>TRIM(Raw_Data!A119)</f>
        <v/>
      </c>
      <c r="B119" s="5">
        <f>Raw_Data!B119</f>
        <v/>
      </c>
      <c r="C119" s="4">
        <f>TRIM(Raw_Data!C119)</f>
        <v/>
      </c>
      <c r="D119" s="4">
        <f>PROPER(TRIM(Raw_Data!D119))</f>
        <v/>
      </c>
      <c r="E119" s="4">
        <f>Raw_Data!E119</f>
        <v/>
      </c>
      <c r="F119" s="6">
        <f>ROUND(Raw_Data!F119,2)</f>
        <v/>
      </c>
      <c r="G119" s="4">
        <f>PROPER(TRIM(Raw_Data!G119))</f>
        <v/>
      </c>
      <c r="H119" s="4">
        <f>PROPER(TRIM(Raw_Data!H119))</f>
        <v/>
      </c>
      <c r="I119" s="4">
        <f>PROPER(TRIM(Raw_Data!I119))</f>
        <v/>
      </c>
      <c r="J119" s="4">
        <f>TRIM(Raw_Data!J119)</f>
        <v/>
      </c>
      <c r="K119" s="4">
        <f>Raw_Data!K119</f>
        <v/>
      </c>
      <c r="L119" s="4">
        <f>IF(TRIM(Raw_Data!L119)="","No Coupon",TRIM(Raw_Data!L119))</f>
        <v/>
      </c>
      <c r="M119" s="4">
        <f>PROPER(TRIM(Raw_Data!M119))</f>
        <v/>
      </c>
      <c r="N119" s="6">
        <f>ROUND(Raw_Data!N119,2)</f>
        <v/>
      </c>
      <c r="O119" s="7">
        <f>IF(COUNTIF($A$2:$A$1201,A119)&gt;1,"DUPLICATE","Unique")</f>
        <v/>
      </c>
      <c r="P119" s="7">
        <f>IF(COUNTIF($J$2:$J$1201,J119)&gt;1,"DUPLICATE","Unique")</f>
        <v/>
      </c>
      <c r="Q119" s="4">
        <f>IF(TRIM(Raw_Data!L119)="","Yes","No")</f>
        <v/>
      </c>
      <c r="R119" s="4">
        <f>IF(ISNUMBER(B119),"Valid","INVALID")</f>
        <v/>
      </c>
    </row>
    <row r="120">
      <c r="A120" s="4">
        <f>TRIM(Raw_Data!A120)</f>
        <v/>
      </c>
      <c r="B120" s="5">
        <f>Raw_Data!B120</f>
        <v/>
      </c>
      <c r="C120" s="4">
        <f>TRIM(Raw_Data!C120)</f>
        <v/>
      </c>
      <c r="D120" s="4">
        <f>PROPER(TRIM(Raw_Data!D120))</f>
        <v/>
      </c>
      <c r="E120" s="4">
        <f>Raw_Data!E120</f>
        <v/>
      </c>
      <c r="F120" s="6">
        <f>ROUND(Raw_Data!F120,2)</f>
        <v/>
      </c>
      <c r="G120" s="4">
        <f>PROPER(TRIM(Raw_Data!G120))</f>
        <v/>
      </c>
      <c r="H120" s="4">
        <f>PROPER(TRIM(Raw_Data!H120))</f>
        <v/>
      </c>
      <c r="I120" s="4">
        <f>PROPER(TRIM(Raw_Data!I120))</f>
        <v/>
      </c>
      <c r="J120" s="4">
        <f>TRIM(Raw_Data!J120)</f>
        <v/>
      </c>
      <c r="K120" s="4">
        <f>Raw_Data!K120</f>
        <v/>
      </c>
      <c r="L120" s="4">
        <f>IF(TRIM(Raw_Data!L120)="","No Coupon",TRIM(Raw_Data!L120))</f>
        <v/>
      </c>
      <c r="M120" s="4">
        <f>PROPER(TRIM(Raw_Data!M120))</f>
        <v/>
      </c>
      <c r="N120" s="6">
        <f>ROUND(Raw_Data!N120,2)</f>
        <v/>
      </c>
      <c r="O120" s="7">
        <f>IF(COUNTIF($A$2:$A$1201,A120)&gt;1,"DUPLICATE","Unique")</f>
        <v/>
      </c>
      <c r="P120" s="7">
        <f>IF(COUNTIF($J$2:$J$1201,J120)&gt;1,"DUPLICATE","Unique")</f>
        <v/>
      </c>
      <c r="Q120" s="4">
        <f>IF(TRIM(Raw_Data!L120)="","Yes","No")</f>
        <v/>
      </c>
      <c r="R120" s="4">
        <f>IF(ISNUMBER(B120),"Valid","INVALID")</f>
        <v/>
      </c>
    </row>
    <row r="121">
      <c r="A121" s="4">
        <f>TRIM(Raw_Data!A121)</f>
        <v/>
      </c>
      <c r="B121" s="5">
        <f>Raw_Data!B121</f>
        <v/>
      </c>
      <c r="C121" s="4">
        <f>TRIM(Raw_Data!C121)</f>
        <v/>
      </c>
      <c r="D121" s="4">
        <f>PROPER(TRIM(Raw_Data!D121))</f>
        <v/>
      </c>
      <c r="E121" s="4">
        <f>Raw_Data!E121</f>
        <v/>
      </c>
      <c r="F121" s="6">
        <f>ROUND(Raw_Data!F121,2)</f>
        <v/>
      </c>
      <c r="G121" s="4">
        <f>PROPER(TRIM(Raw_Data!G121))</f>
        <v/>
      </c>
      <c r="H121" s="4">
        <f>PROPER(TRIM(Raw_Data!H121))</f>
        <v/>
      </c>
      <c r="I121" s="4">
        <f>PROPER(TRIM(Raw_Data!I121))</f>
        <v/>
      </c>
      <c r="J121" s="4">
        <f>TRIM(Raw_Data!J121)</f>
        <v/>
      </c>
      <c r="K121" s="4">
        <f>Raw_Data!K121</f>
        <v/>
      </c>
      <c r="L121" s="4">
        <f>IF(TRIM(Raw_Data!L121)="","No Coupon",TRIM(Raw_Data!L121))</f>
        <v/>
      </c>
      <c r="M121" s="4">
        <f>PROPER(TRIM(Raw_Data!M121))</f>
        <v/>
      </c>
      <c r="N121" s="6">
        <f>ROUND(Raw_Data!N121,2)</f>
        <v/>
      </c>
      <c r="O121" s="7">
        <f>IF(COUNTIF($A$2:$A$1201,A121)&gt;1,"DUPLICATE","Unique")</f>
        <v/>
      </c>
      <c r="P121" s="7">
        <f>IF(COUNTIF($J$2:$J$1201,J121)&gt;1,"DUPLICATE","Unique")</f>
        <v/>
      </c>
      <c r="Q121" s="4">
        <f>IF(TRIM(Raw_Data!L121)="","Yes","No")</f>
        <v/>
      </c>
      <c r="R121" s="4">
        <f>IF(ISNUMBER(B121),"Valid","INVALID")</f>
        <v/>
      </c>
    </row>
    <row r="122">
      <c r="A122" s="4">
        <f>TRIM(Raw_Data!A122)</f>
        <v/>
      </c>
      <c r="B122" s="5">
        <f>Raw_Data!B122</f>
        <v/>
      </c>
      <c r="C122" s="4">
        <f>TRIM(Raw_Data!C122)</f>
        <v/>
      </c>
      <c r="D122" s="4">
        <f>PROPER(TRIM(Raw_Data!D122))</f>
        <v/>
      </c>
      <c r="E122" s="4">
        <f>Raw_Data!E122</f>
        <v/>
      </c>
      <c r="F122" s="6">
        <f>ROUND(Raw_Data!F122,2)</f>
        <v/>
      </c>
      <c r="G122" s="4">
        <f>PROPER(TRIM(Raw_Data!G122))</f>
        <v/>
      </c>
      <c r="H122" s="4">
        <f>PROPER(TRIM(Raw_Data!H122))</f>
        <v/>
      </c>
      <c r="I122" s="4">
        <f>PROPER(TRIM(Raw_Data!I122))</f>
        <v/>
      </c>
      <c r="J122" s="4">
        <f>TRIM(Raw_Data!J122)</f>
        <v/>
      </c>
      <c r="K122" s="4">
        <f>Raw_Data!K122</f>
        <v/>
      </c>
      <c r="L122" s="4">
        <f>IF(TRIM(Raw_Data!L122)="","No Coupon",TRIM(Raw_Data!L122))</f>
        <v/>
      </c>
      <c r="M122" s="4">
        <f>PROPER(TRIM(Raw_Data!M122))</f>
        <v/>
      </c>
      <c r="N122" s="6">
        <f>ROUND(Raw_Data!N122,2)</f>
        <v/>
      </c>
      <c r="O122" s="7">
        <f>IF(COUNTIF($A$2:$A$1201,A122)&gt;1,"DUPLICATE","Unique")</f>
        <v/>
      </c>
      <c r="P122" s="7">
        <f>IF(COUNTIF($J$2:$J$1201,J122)&gt;1,"DUPLICATE","Unique")</f>
        <v/>
      </c>
      <c r="Q122" s="4">
        <f>IF(TRIM(Raw_Data!L122)="","Yes","No")</f>
        <v/>
      </c>
      <c r="R122" s="4">
        <f>IF(ISNUMBER(B122),"Valid","INVALID")</f>
        <v/>
      </c>
    </row>
    <row r="123">
      <c r="A123" s="4">
        <f>TRIM(Raw_Data!A123)</f>
        <v/>
      </c>
      <c r="B123" s="5">
        <f>Raw_Data!B123</f>
        <v/>
      </c>
      <c r="C123" s="4">
        <f>TRIM(Raw_Data!C123)</f>
        <v/>
      </c>
      <c r="D123" s="4">
        <f>PROPER(TRIM(Raw_Data!D123))</f>
        <v/>
      </c>
      <c r="E123" s="4">
        <f>Raw_Data!E123</f>
        <v/>
      </c>
      <c r="F123" s="6">
        <f>ROUND(Raw_Data!F123,2)</f>
        <v/>
      </c>
      <c r="G123" s="4">
        <f>PROPER(TRIM(Raw_Data!G123))</f>
        <v/>
      </c>
      <c r="H123" s="4">
        <f>PROPER(TRIM(Raw_Data!H123))</f>
        <v/>
      </c>
      <c r="I123" s="4">
        <f>PROPER(TRIM(Raw_Data!I123))</f>
        <v/>
      </c>
      <c r="J123" s="4">
        <f>TRIM(Raw_Data!J123)</f>
        <v/>
      </c>
      <c r="K123" s="4">
        <f>Raw_Data!K123</f>
        <v/>
      </c>
      <c r="L123" s="4">
        <f>IF(TRIM(Raw_Data!L123)="","No Coupon",TRIM(Raw_Data!L123))</f>
        <v/>
      </c>
      <c r="M123" s="4">
        <f>PROPER(TRIM(Raw_Data!M123))</f>
        <v/>
      </c>
      <c r="N123" s="6">
        <f>ROUND(Raw_Data!N123,2)</f>
        <v/>
      </c>
      <c r="O123" s="7">
        <f>IF(COUNTIF($A$2:$A$1201,A123)&gt;1,"DUPLICATE","Unique")</f>
        <v/>
      </c>
      <c r="P123" s="7">
        <f>IF(COUNTIF($J$2:$J$1201,J123)&gt;1,"DUPLICATE","Unique")</f>
        <v/>
      </c>
      <c r="Q123" s="4">
        <f>IF(TRIM(Raw_Data!L123)="","Yes","No")</f>
        <v/>
      </c>
      <c r="R123" s="4">
        <f>IF(ISNUMBER(B123),"Valid","INVALID")</f>
        <v/>
      </c>
    </row>
    <row r="124">
      <c r="A124" s="4">
        <f>TRIM(Raw_Data!A124)</f>
        <v/>
      </c>
      <c r="B124" s="5">
        <f>Raw_Data!B124</f>
        <v/>
      </c>
      <c r="C124" s="4">
        <f>TRIM(Raw_Data!C124)</f>
        <v/>
      </c>
      <c r="D124" s="4">
        <f>PROPER(TRIM(Raw_Data!D124))</f>
        <v/>
      </c>
      <c r="E124" s="4">
        <f>Raw_Data!E124</f>
        <v/>
      </c>
      <c r="F124" s="6">
        <f>ROUND(Raw_Data!F124,2)</f>
        <v/>
      </c>
      <c r="G124" s="4">
        <f>PROPER(TRIM(Raw_Data!G124))</f>
        <v/>
      </c>
      <c r="H124" s="4">
        <f>PROPER(TRIM(Raw_Data!H124))</f>
        <v/>
      </c>
      <c r="I124" s="4">
        <f>PROPER(TRIM(Raw_Data!I124))</f>
        <v/>
      </c>
      <c r="J124" s="4">
        <f>TRIM(Raw_Data!J124)</f>
        <v/>
      </c>
      <c r="K124" s="4">
        <f>Raw_Data!K124</f>
        <v/>
      </c>
      <c r="L124" s="4">
        <f>IF(TRIM(Raw_Data!L124)="","No Coupon",TRIM(Raw_Data!L124))</f>
        <v/>
      </c>
      <c r="M124" s="4">
        <f>PROPER(TRIM(Raw_Data!M124))</f>
        <v/>
      </c>
      <c r="N124" s="6">
        <f>ROUND(Raw_Data!N124,2)</f>
        <v/>
      </c>
      <c r="O124" s="7">
        <f>IF(COUNTIF($A$2:$A$1201,A124)&gt;1,"DUPLICATE","Unique")</f>
        <v/>
      </c>
      <c r="P124" s="7">
        <f>IF(COUNTIF($J$2:$J$1201,J124)&gt;1,"DUPLICATE","Unique")</f>
        <v/>
      </c>
      <c r="Q124" s="4">
        <f>IF(TRIM(Raw_Data!L124)="","Yes","No")</f>
        <v/>
      </c>
      <c r="R124" s="4">
        <f>IF(ISNUMBER(B124),"Valid","INVALID")</f>
        <v/>
      </c>
    </row>
    <row r="125">
      <c r="A125" s="4">
        <f>TRIM(Raw_Data!A125)</f>
        <v/>
      </c>
      <c r="B125" s="5">
        <f>Raw_Data!B125</f>
        <v/>
      </c>
      <c r="C125" s="4">
        <f>TRIM(Raw_Data!C125)</f>
        <v/>
      </c>
      <c r="D125" s="4">
        <f>PROPER(TRIM(Raw_Data!D125))</f>
        <v/>
      </c>
      <c r="E125" s="4">
        <f>Raw_Data!E125</f>
        <v/>
      </c>
      <c r="F125" s="6">
        <f>ROUND(Raw_Data!F125,2)</f>
        <v/>
      </c>
      <c r="G125" s="4">
        <f>PROPER(TRIM(Raw_Data!G125))</f>
        <v/>
      </c>
      <c r="H125" s="4">
        <f>PROPER(TRIM(Raw_Data!H125))</f>
        <v/>
      </c>
      <c r="I125" s="4">
        <f>PROPER(TRIM(Raw_Data!I125))</f>
        <v/>
      </c>
      <c r="J125" s="4">
        <f>TRIM(Raw_Data!J125)</f>
        <v/>
      </c>
      <c r="K125" s="4">
        <f>Raw_Data!K125</f>
        <v/>
      </c>
      <c r="L125" s="4">
        <f>IF(TRIM(Raw_Data!L125)="","No Coupon",TRIM(Raw_Data!L125))</f>
        <v/>
      </c>
      <c r="M125" s="4">
        <f>PROPER(TRIM(Raw_Data!M125))</f>
        <v/>
      </c>
      <c r="N125" s="6">
        <f>ROUND(Raw_Data!N125,2)</f>
        <v/>
      </c>
      <c r="O125" s="7">
        <f>IF(COUNTIF($A$2:$A$1201,A125)&gt;1,"DUPLICATE","Unique")</f>
        <v/>
      </c>
      <c r="P125" s="7">
        <f>IF(COUNTIF($J$2:$J$1201,J125)&gt;1,"DUPLICATE","Unique")</f>
        <v/>
      </c>
      <c r="Q125" s="4">
        <f>IF(TRIM(Raw_Data!L125)="","Yes","No")</f>
        <v/>
      </c>
      <c r="R125" s="4">
        <f>IF(ISNUMBER(B125),"Valid","INVALID")</f>
        <v/>
      </c>
    </row>
    <row r="126">
      <c r="A126" s="4">
        <f>TRIM(Raw_Data!A126)</f>
        <v/>
      </c>
      <c r="B126" s="5">
        <f>Raw_Data!B126</f>
        <v/>
      </c>
      <c r="C126" s="4">
        <f>TRIM(Raw_Data!C126)</f>
        <v/>
      </c>
      <c r="D126" s="4">
        <f>PROPER(TRIM(Raw_Data!D126))</f>
        <v/>
      </c>
      <c r="E126" s="4">
        <f>Raw_Data!E126</f>
        <v/>
      </c>
      <c r="F126" s="6">
        <f>ROUND(Raw_Data!F126,2)</f>
        <v/>
      </c>
      <c r="G126" s="4">
        <f>PROPER(TRIM(Raw_Data!G126))</f>
        <v/>
      </c>
      <c r="H126" s="4">
        <f>PROPER(TRIM(Raw_Data!H126))</f>
        <v/>
      </c>
      <c r="I126" s="4">
        <f>PROPER(TRIM(Raw_Data!I126))</f>
        <v/>
      </c>
      <c r="J126" s="4">
        <f>TRIM(Raw_Data!J126)</f>
        <v/>
      </c>
      <c r="K126" s="4">
        <f>Raw_Data!K126</f>
        <v/>
      </c>
      <c r="L126" s="4">
        <f>IF(TRIM(Raw_Data!L126)="","No Coupon",TRIM(Raw_Data!L126))</f>
        <v/>
      </c>
      <c r="M126" s="4">
        <f>PROPER(TRIM(Raw_Data!M126))</f>
        <v/>
      </c>
      <c r="N126" s="6">
        <f>ROUND(Raw_Data!N126,2)</f>
        <v/>
      </c>
      <c r="O126" s="7">
        <f>IF(COUNTIF($A$2:$A$1201,A126)&gt;1,"DUPLICATE","Unique")</f>
        <v/>
      </c>
      <c r="P126" s="7">
        <f>IF(COUNTIF($J$2:$J$1201,J126)&gt;1,"DUPLICATE","Unique")</f>
        <v/>
      </c>
      <c r="Q126" s="4">
        <f>IF(TRIM(Raw_Data!L126)="","Yes","No")</f>
        <v/>
      </c>
      <c r="R126" s="4">
        <f>IF(ISNUMBER(B126),"Valid","INVALID")</f>
        <v/>
      </c>
    </row>
    <row r="127">
      <c r="A127" s="4">
        <f>TRIM(Raw_Data!A127)</f>
        <v/>
      </c>
      <c r="B127" s="5">
        <f>Raw_Data!B127</f>
        <v/>
      </c>
      <c r="C127" s="4">
        <f>TRIM(Raw_Data!C127)</f>
        <v/>
      </c>
      <c r="D127" s="4">
        <f>PROPER(TRIM(Raw_Data!D127))</f>
        <v/>
      </c>
      <c r="E127" s="4">
        <f>Raw_Data!E127</f>
        <v/>
      </c>
      <c r="F127" s="6">
        <f>ROUND(Raw_Data!F127,2)</f>
        <v/>
      </c>
      <c r="G127" s="4">
        <f>PROPER(TRIM(Raw_Data!G127))</f>
        <v/>
      </c>
      <c r="H127" s="4">
        <f>PROPER(TRIM(Raw_Data!H127))</f>
        <v/>
      </c>
      <c r="I127" s="4">
        <f>PROPER(TRIM(Raw_Data!I127))</f>
        <v/>
      </c>
      <c r="J127" s="4">
        <f>TRIM(Raw_Data!J127)</f>
        <v/>
      </c>
      <c r="K127" s="4">
        <f>Raw_Data!K127</f>
        <v/>
      </c>
      <c r="L127" s="4">
        <f>IF(TRIM(Raw_Data!L127)="","No Coupon",TRIM(Raw_Data!L127))</f>
        <v/>
      </c>
      <c r="M127" s="4">
        <f>PROPER(TRIM(Raw_Data!M127))</f>
        <v/>
      </c>
      <c r="N127" s="6">
        <f>ROUND(Raw_Data!N127,2)</f>
        <v/>
      </c>
      <c r="O127" s="7">
        <f>IF(COUNTIF($A$2:$A$1201,A127)&gt;1,"DUPLICATE","Unique")</f>
        <v/>
      </c>
      <c r="P127" s="7">
        <f>IF(COUNTIF($J$2:$J$1201,J127)&gt;1,"DUPLICATE","Unique")</f>
        <v/>
      </c>
      <c r="Q127" s="4">
        <f>IF(TRIM(Raw_Data!L127)="","Yes","No")</f>
        <v/>
      </c>
      <c r="R127" s="4">
        <f>IF(ISNUMBER(B127),"Valid","INVALID")</f>
        <v/>
      </c>
    </row>
    <row r="128">
      <c r="A128" s="4">
        <f>TRIM(Raw_Data!A128)</f>
        <v/>
      </c>
      <c r="B128" s="5">
        <f>Raw_Data!B128</f>
        <v/>
      </c>
      <c r="C128" s="4">
        <f>TRIM(Raw_Data!C128)</f>
        <v/>
      </c>
      <c r="D128" s="4">
        <f>PROPER(TRIM(Raw_Data!D128))</f>
        <v/>
      </c>
      <c r="E128" s="4">
        <f>Raw_Data!E128</f>
        <v/>
      </c>
      <c r="F128" s="6">
        <f>ROUND(Raw_Data!F128,2)</f>
        <v/>
      </c>
      <c r="G128" s="4">
        <f>PROPER(TRIM(Raw_Data!G128))</f>
        <v/>
      </c>
      <c r="H128" s="4">
        <f>PROPER(TRIM(Raw_Data!H128))</f>
        <v/>
      </c>
      <c r="I128" s="4">
        <f>PROPER(TRIM(Raw_Data!I128))</f>
        <v/>
      </c>
      <c r="J128" s="4">
        <f>TRIM(Raw_Data!J128)</f>
        <v/>
      </c>
      <c r="K128" s="4">
        <f>Raw_Data!K128</f>
        <v/>
      </c>
      <c r="L128" s="4">
        <f>IF(TRIM(Raw_Data!L128)="","No Coupon",TRIM(Raw_Data!L128))</f>
        <v/>
      </c>
      <c r="M128" s="4">
        <f>PROPER(TRIM(Raw_Data!M128))</f>
        <v/>
      </c>
      <c r="N128" s="6">
        <f>ROUND(Raw_Data!N128,2)</f>
        <v/>
      </c>
      <c r="O128" s="7">
        <f>IF(COUNTIF($A$2:$A$1201,A128)&gt;1,"DUPLICATE","Unique")</f>
        <v/>
      </c>
      <c r="P128" s="7">
        <f>IF(COUNTIF($J$2:$J$1201,J128)&gt;1,"DUPLICATE","Unique")</f>
        <v/>
      </c>
      <c r="Q128" s="4">
        <f>IF(TRIM(Raw_Data!L128)="","Yes","No")</f>
        <v/>
      </c>
      <c r="R128" s="4">
        <f>IF(ISNUMBER(B128),"Valid","INVALID")</f>
        <v/>
      </c>
    </row>
    <row r="129">
      <c r="A129" s="4">
        <f>TRIM(Raw_Data!A129)</f>
        <v/>
      </c>
      <c r="B129" s="5">
        <f>Raw_Data!B129</f>
        <v/>
      </c>
      <c r="C129" s="4">
        <f>TRIM(Raw_Data!C129)</f>
        <v/>
      </c>
      <c r="D129" s="4">
        <f>PROPER(TRIM(Raw_Data!D129))</f>
        <v/>
      </c>
      <c r="E129" s="4">
        <f>Raw_Data!E129</f>
        <v/>
      </c>
      <c r="F129" s="6">
        <f>ROUND(Raw_Data!F129,2)</f>
        <v/>
      </c>
      <c r="G129" s="4">
        <f>PROPER(TRIM(Raw_Data!G129))</f>
        <v/>
      </c>
      <c r="H129" s="4">
        <f>PROPER(TRIM(Raw_Data!H129))</f>
        <v/>
      </c>
      <c r="I129" s="4">
        <f>PROPER(TRIM(Raw_Data!I129))</f>
        <v/>
      </c>
      <c r="J129" s="4">
        <f>TRIM(Raw_Data!J129)</f>
        <v/>
      </c>
      <c r="K129" s="4">
        <f>Raw_Data!K129</f>
        <v/>
      </c>
      <c r="L129" s="4">
        <f>IF(TRIM(Raw_Data!L129)="","No Coupon",TRIM(Raw_Data!L129))</f>
        <v/>
      </c>
      <c r="M129" s="4">
        <f>PROPER(TRIM(Raw_Data!M129))</f>
        <v/>
      </c>
      <c r="N129" s="6">
        <f>ROUND(Raw_Data!N129,2)</f>
        <v/>
      </c>
      <c r="O129" s="7">
        <f>IF(COUNTIF($A$2:$A$1201,A129)&gt;1,"DUPLICATE","Unique")</f>
        <v/>
      </c>
      <c r="P129" s="7">
        <f>IF(COUNTIF($J$2:$J$1201,J129)&gt;1,"DUPLICATE","Unique")</f>
        <v/>
      </c>
      <c r="Q129" s="4">
        <f>IF(TRIM(Raw_Data!L129)="","Yes","No")</f>
        <v/>
      </c>
      <c r="R129" s="4">
        <f>IF(ISNUMBER(B129),"Valid","INVALID")</f>
        <v/>
      </c>
    </row>
    <row r="130">
      <c r="A130" s="4">
        <f>TRIM(Raw_Data!A130)</f>
        <v/>
      </c>
      <c r="B130" s="5">
        <f>Raw_Data!B130</f>
        <v/>
      </c>
      <c r="C130" s="4">
        <f>TRIM(Raw_Data!C130)</f>
        <v/>
      </c>
      <c r="D130" s="4">
        <f>PROPER(TRIM(Raw_Data!D130))</f>
        <v/>
      </c>
      <c r="E130" s="4">
        <f>Raw_Data!E130</f>
        <v/>
      </c>
      <c r="F130" s="6">
        <f>ROUND(Raw_Data!F130,2)</f>
        <v/>
      </c>
      <c r="G130" s="4">
        <f>PROPER(TRIM(Raw_Data!G130))</f>
        <v/>
      </c>
      <c r="H130" s="4">
        <f>PROPER(TRIM(Raw_Data!H130))</f>
        <v/>
      </c>
      <c r="I130" s="4">
        <f>PROPER(TRIM(Raw_Data!I130))</f>
        <v/>
      </c>
      <c r="J130" s="4">
        <f>TRIM(Raw_Data!J130)</f>
        <v/>
      </c>
      <c r="K130" s="4">
        <f>Raw_Data!K130</f>
        <v/>
      </c>
      <c r="L130" s="4">
        <f>IF(TRIM(Raw_Data!L130)="","No Coupon",TRIM(Raw_Data!L130))</f>
        <v/>
      </c>
      <c r="M130" s="4">
        <f>PROPER(TRIM(Raw_Data!M130))</f>
        <v/>
      </c>
      <c r="N130" s="6">
        <f>ROUND(Raw_Data!N130,2)</f>
        <v/>
      </c>
      <c r="O130" s="7">
        <f>IF(COUNTIF($A$2:$A$1201,A130)&gt;1,"DUPLICATE","Unique")</f>
        <v/>
      </c>
      <c r="P130" s="7">
        <f>IF(COUNTIF($J$2:$J$1201,J130)&gt;1,"DUPLICATE","Unique")</f>
        <v/>
      </c>
      <c r="Q130" s="4">
        <f>IF(TRIM(Raw_Data!L130)="","Yes","No")</f>
        <v/>
      </c>
      <c r="R130" s="4">
        <f>IF(ISNUMBER(B130),"Valid","INVALID")</f>
        <v/>
      </c>
    </row>
    <row r="131">
      <c r="A131" s="4">
        <f>TRIM(Raw_Data!A131)</f>
        <v/>
      </c>
      <c r="B131" s="5">
        <f>Raw_Data!B131</f>
        <v/>
      </c>
      <c r="C131" s="4">
        <f>TRIM(Raw_Data!C131)</f>
        <v/>
      </c>
      <c r="D131" s="4">
        <f>PROPER(TRIM(Raw_Data!D131))</f>
        <v/>
      </c>
      <c r="E131" s="4">
        <f>Raw_Data!E131</f>
        <v/>
      </c>
      <c r="F131" s="6">
        <f>ROUND(Raw_Data!F131,2)</f>
        <v/>
      </c>
      <c r="G131" s="4">
        <f>PROPER(TRIM(Raw_Data!G131))</f>
        <v/>
      </c>
      <c r="H131" s="4">
        <f>PROPER(TRIM(Raw_Data!H131))</f>
        <v/>
      </c>
      <c r="I131" s="4">
        <f>PROPER(TRIM(Raw_Data!I131))</f>
        <v/>
      </c>
      <c r="J131" s="4">
        <f>TRIM(Raw_Data!J131)</f>
        <v/>
      </c>
      <c r="K131" s="4">
        <f>Raw_Data!K131</f>
        <v/>
      </c>
      <c r="L131" s="4">
        <f>IF(TRIM(Raw_Data!L131)="","No Coupon",TRIM(Raw_Data!L131))</f>
        <v/>
      </c>
      <c r="M131" s="4">
        <f>PROPER(TRIM(Raw_Data!M131))</f>
        <v/>
      </c>
      <c r="N131" s="6">
        <f>ROUND(Raw_Data!N131,2)</f>
        <v/>
      </c>
      <c r="O131" s="7">
        <f>IF(COUNTIF($A$2:$A$1201,A131)&gt;1,"DUPLICATE","Unique")</f>
        <v/>
      </c>
      <c r="P131" s="7">
        <f>IF(COUNTIF($J$2:$J$1201,J131)&gt;1,"DUPLICATE","Unique")</f>
        <v/>
      </c>
      <c r="Q131" s="4">
        <f>IF(TRIM(Raw_Data!L131)="","Yes","No")</f>
        <v/>
      </c>
      <c r="R131" s="4">
        <f>IF(ISNUMBER(B131),"Valid","INVALID")</f>
        <v/>
      </c>
    </row>
    <row r="132">
      <c r="A132" s="4">
        <f>TRIM(Raw_Data!A132)</f>
        <v/>
      </c>
      <c r="B132" s="5">
        <f>Raw_Data!B132</f>
        <v/>
      </c>
      <c r="C132" s="4">
        <f>TRIM(Raw_Data!C132)</f>
        <v/>
      </c>
      <c r="D132" s="4">
        <f>PROPER(TRIM(Raw_Data!D132))</f>
        <v/>
      </c>
      <c r="E132" s="4">
        <f>Raw_Data!E132</f>
        <v/>
      </c>
      <c r="F132" s="6">
        <f>ROUND(Raw_Data!F132,2)</f>
        <v/>
      </c>
      <c r="G132" s="4">
        <f>PROPER(TRIM(Raw_Data!G132))</f>
        <v/>
      </c>
      <c r="H132" s="4">
        <f>PROPER(TRIM(Raw_Data!H132))</f>
        <v/>
      </c>
      <c r="I132" s="4">
        <f>PROPER(TRIM(Raw_Data!I132))</f>
        <v/>
      </c>
      <c r="J132" s="4">
        <f>TRIM(Raw_Data!J132)</f>
        <v/>
      </c>
      <c r="K132" s="4">
        <f>Raw_Data!K132</f>
        <v/>
      </c>
      <c r="L132" s="4">
        <f>IF(TRIM(Raw_Data!L132)="","No Coupon",TRIM(Raw_Data!L132))</f>
        <v/>
      </c>
      <c r="M132" s="4">
        <f>PROPER(TRIM(Raw_Data!M132))</f>
        <v/>
      </c>
      <c r="N132" s="6">
        <f>ROUND(Raw_Data!N132,2)</f>
        <v/>
      </c>
      <c r="O132" s="7">
        <f>IF(COUNTIF($A$2:$A$1201,A132)&gt;1,"DUPLICATE","Unique")</f>
        <v/>
      </c>
      <c r="P132" s="7">
        <f>IF(COUNTIF($J$2:$J$1201,J132)&gt;1,"DUPLICATE","Unique")</f>
        <v/>
      </c>
      <c r="Q132" s="4">
        <f>IF(TRIM(Raw_Data!L132)="","Yes","No")</f>
        <v/>
      </c>
      <c r="R132" s="4">
        <f>IF(ISNUMBER(B132),"Valid","INVALID")</f>
        <v/>
      </c>
    </row>
    <row r="133">
      <c r="A133" s="4">
        <f>TRIM(Raw_Data!A133)</f>
        <v/>
      </c>
      <c r="B133" s="5">
        <f>Raw_Data!B133</f>
        <v/>
      </c>
      <c r="C133" s="4">
        <f>TRIM(Raw_Data!C133)</f>
        <v/>
      </c>
      <c r="D133" s="4">
        <f>PROPER(TRIM(Raw_Data!D133))</f>
        <v/>
      </c>
      <c r="E133" s="4">
        <f>Raw_Data!E133</f>
        <v/>
      </c>
      <c r="F133" s="6">
        <f>ROUND(Raw_Data!F133,2)</f>
        <v/>
      </c>
      <c r="G133" s="4">
        <f>PROPER(TRIM(Raw_Data!G133))</f>
        <v/>
      </c>
      <c r="H133" s="4">
        <f>PROPER(TRIM(Raw_Data!H133))</f>
        <v/>
      </c>
      <c r="I133" s="4">
        <f>PROPER(TRIM(Raw_Data!I133))</f>
        <v/>
      </c>
      <c r="J133" s="4">
        <f>TRIM(Raw_Data!J133)</f>
        <v/>
      </c>
      <c r="K133" s="4">
        <f>Raw_Data!K133</f>
        <v/>
      </c>
      <c r="L133" s="4">
        <f>IF(TRIM(Raw_Data!L133)="","No Coupon",TRIM(Raw_Data!L133))</f>
        <v/>
      </c>
      <c r="M133" s="4">
        <f>PROPER(TRIM(Raw_Data!M133))</f>
        <v/>
      </c>
      <c r="N133" s="6">
        <f>ROUND(Raw_Data!N133,2)</f>
        <v/>
      </c>
      <c r="O133" s="7">
        <f>IF(COUNTIF($A$2:$A$1201,A133)&gt;1,"DUPLICATE","Unique")</f>
        <v/>
      </c>
      <c r="P133" s="7">
        <f>IF(COUNTIF($J$2:$J$1201,J133)&gt;1,"DUPLICATE","Unique")</f>
        <v/>
      </c>
      <c r="Q133" s="4">
        <f>IF(TRIM(Raw_Data!L133)="","Yes","No")</f>
        <v/>
      </c>
      <c r="R133" s="4">
        <f>IF(ISNUMBER(B133),"Valid","INVALID")</f>
        <v/>
      </c>
    </row>
    <row r="134">
      <c r="A134" s="4">
        <f>TRIM(Raw_Data!A134)</f>
        <v/>
      </c>
      <c r="B134" s="5">
        <f>Raw_Data!B134</f>
        <v/>
      </c>
      <c r="C134" s="4">
        <f>TRIM(Raw_Data!C134)</f>
        <v/>
      </c>
      <c r="D134" s="4">
        <f>PROPER(TRIM(Raw_Data!D134))</f>
        <v/>
      </c>
      <c r="E134" s="4">
        <f>Raw_Data!E134</f>
        <v/>
      </c>
      <c r="F134" s="6">
        <f>ROUND(Raw_Data!F134,2)</f>
        <v/>
      </c>
      <c r="G134" s="4">
        <f>PROPER(TRIM(Raw_Data!G134))</f>
        <v/>
      </c>
      <c r="H134" s="4">
        <f>PROPER(TRIM(Raw_Data!H134))</f>
        <v/>
      </c>
      <c r="I134" s="4">
        <f>PROPER(TRIM(Raw_Data!I134))</f>
        <v/>
      </c>
      <c r="J134" s="4">
        <f>TRIM(Raw_Data!J134)</f>
        <v/>
      </c>
      <c r="K134" s="4">
        <f>Raw_Data!K134</f>
        <v/>
      </c>
      <c r="L134" s="4">
        <f>IF(TRIM(Raw_Data!L134)="","No Coupon",TRIM(Raw_Data!L134))</f>
        <v/>
      </c>
      <c r="M134" s="4">
        <f>PROPER(TRIM(Raw_Data!M134))</f>
        <v/>
      </c>
      <c r="N134" s="6">
        <f>ROUND(Raw_Data!N134,2)</f>
        <v/>
      </c>
      <c r="O134" s="7">
        <f>IF(COUNTIF($A$2:$A$1201,A134)&gt;1,"DUPLICATE","Unique")</f>
        <v/>
      </c>
      <c r="P134" s="7">
        <f>IF(COUNTIF($J$2:$J$1201,J134)&gt;1,"DUPLICATE","Unique")</f>
        <v/>
      </c>
      <c r="Q134" s="4">
        <f>IF(TRIM(Raw_Data!L134)="","Yes","No")</f>
        <v/>
      </c>
      <c r="R134" s="4">
        <f>IF(ISNUMBER(B134),"Valid","INVALID")</f>
        <v/>
      </c>
    </row>
    <row r="135">
      <c r="A135" s="4">
        <f>TRIM(Raw_Data!A135)</f>
        <v/>
      </c>
      <c r="B135" s="5">
        <f>Raw_Data!B135</f>
        <v/>
      </c>
      <c r="C135" s="4">
        <f>TRIM(Raw_Data!C135)</f>
        <v/>
      </c>
      <c r="D135" s="4">
        <f>PROPER(TRIM(Raw_Data!D135))</f>
        <v/>
      </c>
      <c r="E135" s="4">
        <f>Raw_Data!E135</f>
        <v/>
      </c>
      <c r="F135" s="6">
        <f>ROUND(Raw_Data!F135,2)</f>
        <v/>
      </c>
      <c r="G135" s="4">
        <f>PROPER(TRIM(Raw_Data!G135))</f>
        <v/>
      </c>
      <c r="H135" s="4">
        <f>PROPER(TRIM(Raw_Data!H135))</f>
        <v/>
      </c>
      <c r="I135" s="4">
        <f>PROPER(TRIM(Raw_Data!I135))</f>
        <v/>
      </c>
      <c r="J135" s="4">
        <f>TRIM(Raw_Data!J135)</f>
        <v/>
      </c>
      <c r="K135" s="4">
        <f>Raw_Data!K135</f>
        <v/>
      </c>
      <c r="L135" s="4">
        <f>IF(TRIM(Raw_Data!L135)="","No Coupon",TRIM(Raw_Data!L135))</f>
        <v/>
      </c>
      <c r="M135" s="4">
        <f>PROPER(TRIM(Raw_Data!M135))</f>
        <v/>
      </c>
      <c r="N135" s="6">
        <f>ROUND(Raw_Data!N135,2)</f>
        <v/>
      </c>
      <c r="O135" s="7">
        <f>IF(COUNTIF($A$2:$A$1201,A135)&gt;1,"DUPLICATE","Unique")</f>
        <v/>
      </c>
      <c r="P135" s="7">
        <f>IF(COUNTIF($J$2:$J$1201,J135)&gt;1,"DUPLICATE","Unique")</f>
        <v/>
      </c>
      <c r="Q135" s="4">
        <f>IF(TRIM(Raw_Data!L135)="","Yes","No")</f>
        <v/>
      </c>
      <c r="R135" s="4">
        <f>IF(ISNUMBER(B135),"Valid","INVALID")</f>
        <v/>
      </c>
    </row>
    <row r="136">
      <c r="A136" s="4">
        <f>TRIM(Raw_Data!A136)</f>
        <v/>
      </c>
      <c r="B136" s="5">
        <f>Raw_Data!B136</f>
        <v/>
      </c>
      <c r="C136" s="4">
        <f>TRIM(Raw_Data!C136)</f>
        <v/>
      </c>
      <c r="D136" s="4">
        <f>PROPER(TRIM(Raw_Data!D136))</f>
        <v/>
      </c>
      <c r="E136" s="4">
        <f>Raw_Data!E136</f>
        <v/>
      </c>
      <c r="F136" s="6">
        <f>ROUND(Raw_Data!F136,2)</f>
        <v/>
      </c>
      <c r="G136" s="4">
        <f>PROPER(TRIM(Raw_Data!G136))</f>
        <v/>
      </c>
      <c r="H136" s="4">
        <f>PROPER(TRIM(Raw_Data!H136))</f>
        <v/>
      </c>
      <c r="I136" s="4">
        <f>PROPER(TRIM(Raw_Data!I136))</f>
        <v/>
      </c>
      <c r="J136" s="4">
        <f>TRIM(Raw_Data!J136)</f>
        <v/>
      </c>
      <c r="K136" s="4">
        <f>Raw_Data!K136</f>
        <v/>
      </c>
      <c r="L136" s="4">
        <f>IF(TRIM(Raw_Data!L136)="","No Coupon",TRIM(Raw_Data!L136))</f>
        <v/>
      </c>
      <c r="M136" s="4">
        <f>PROPER(TRIM(Raw_Data!M136))</f>
        <v/>
      </c>
      <c r="N136" s="6">
        <f>ROUND(Raw_Data!N136,2)</f>
        <v/>
      </c>
      <c r="O136" s="7">
        <f>IF(COUNTIF($A$2:$A$1201,A136)&gt;1,"DUPLICATE","Unique")</f>
        <v/>
      </c>
      <c r="P136" s="7">
        <f>IF(COUNTIF($J$2:$J$1201,J136)&gt;1,"DUPLICATE","Unique")</f>
        <v/>
      </c>
      <c r="Q136" s="4">
        <f>IF(TRIM(Raw_Data!L136)="","Yes","No")</f>
        <v/>
      </c>
      <c r="R136" s="4">
        <f>IF(ISNUMBER(B136),"Valid","INVALID")</f>
        <v/>
      </c>
    </row>
    <row r="137">
      <c r="A137" s="4">
        <f>TRIM(Raw_Data!A137)</f>
        <v/>
      </c>
      <c r="B137" s="5">
        <f>Raw_Data!B137</f>
        <v/>
      </c>
      <c r="C137" s="4">
        <f>TRIM(Raw_Data!C137)</f>
        <v/>
      </c>
      <c r="D137" s="4">
        <f>PROPER(TRIM(Raw_Data!D137))</f>
        <v/>
      </c>
      <c r="E137" s="4">
        <f>Raw_Data!E137</f>
        <v/>
      </c>
      <c r="F137" s="6">
        <f>ROUND(Raw_Data!F137,2)</f>
        <v/>
      </c>
      <c r="G137" s="4">
        <f>PROPER(TRIM(Raw_Data!G137))</f>
        <v/>
      </c>
      <c r="H137" s="4">
        <f>PROPER(TRIM(Raw_Data!H137))</f>
        <v/>
      </c>
      <c r="I137" s="4">
        <f>PROPER(TRIM(Raw_Data!I137))</f>
        <v/>
      </c>
      <c r="J137" s="4">
        <f>TRIM(Raw_Data!J137)</f>
        <v/>
      </c>
      <c r="K137" s="4">
        <f>Raw_Data!K137</f>
        <v/>
      </c>
      <c r="L137" s="4">
        <f>IF(TRIM(Raw_Data!L137)="","No Coupon",TRIM(Raw_Data!L137))</f>
        <v/>
      </c>
      <c r="M137" s="4">
        <f>PROPER(TRIM(Raw_Data!M137))</f>
        <v/>
      </c>
      <c r="N137" s="6">
        <f>ROUND(Raw_Data!N137,2)</f>
        <v/>
      </c>
      <c r="O137" s="7">
        <f>IF(COUNTIF($A$2:$A$1201,A137)&gt;1,"DUPLICATE","Unique")</f>
        <v/>
      </c>
      <c r="P137" s="7">
        <f>IF(COUNTIF($J$2:$J$1201,J137)&gt;1,"DUPLICATE","Unique")</f>
        <v/>
      </c>
      <c r="Q137" s="4">
        <f>IF(TRIM(Raw_Data!L137)="","Yes","No")</f>
        <v/>
      </c>
      <c r="R137" s="4">
        <f>IF(ISNUMBER(B137),"Valid","INVALID")</f>
        <v/>
      </c>
    </row>
    <row r="138">
      <c r="A138" s="4">
        <f>TRIM(Raw_Data!A138)</f>
        <v/>
      </c>
      <c r="B138" s="5">
        <f>Raw_Data!B138</f>
        <v/>
      </c>
      <c r="C138" s="4">
        <f>TRIM(Raw_Data!C138)</f>
        <v/>
      </c>
      <c r="D138" s="4">
        <f>PROPER(TRIM(Raw_Data!D138))</f>
        <v/>
      </c>
      <c r="E138" s="4">
        <f>Raw_Data!E138</f>
        <v/>
      </c>
      <c r="F138" s="6">
        <f>ROUND(Raw_Data!F138,2)</f>
        <v/>
      </c>
      <c r="G138" s="4">
        <f>PROPER(TRIM(Raw_Data!G138))</f>
        <v/>
      </c>
      <c r="H138" s="4">
        <f>PROPER(TRIM(Raw_Data!H138))</f>
        <v/>
      </c>
      <c r="I138" s="4">
        <f>PROPER(TRIM(Raw_Data!I138))</f>
        <v/>
      </c>
      <c r="J138" s="4">
        <f>TRIM(Raw_Data!J138)</f>
        <v/>
      </c>
      <c r="K138" s="4">
        <f>Raw_Data!K138</f>
        <v/>
      </c>
      <c r="L138" s="4">
        <f>IF(TRIM(Raw_Data!L138)="","No Coupon",TRIM(Raw_Data!L138))</f>
        <v/>
      </c>
      <c r="M138" s="4">
        <f>PROPER(TRIM(Raw_Data!M138))</f>
        <v/>
      </c>
      <c r="N138" s="6">
        <f>ROUND(Raw_Data!N138,2)</f>
        <v/>
      </c>
      <c r="O138" s="7">
        <f>IF(COUNTIF($A$2:$A$1201,A138)&gt;1,"DUPLICATE","Unique")</f>
        <v/>
      </c>
      <c r="P138" s="7">
        <f>IF(COUNTIF($J$2:$J$1201,J138)&gt;1,"DUPLICATE","Unique")</f>
        <v/>
      </c>
      <c r="Q138" s="4">
        <f>IF(TRIM(Raw_Data!L138)="","Yes","No")</f>
        <v/>
      </c>
      <c r="R138" s="4">
        <f>IF(ISNUMBER(B138),"Valid","INVALID")</f>
        <v/>
      </c>
    </row>
    <row r="139">
      <c r="A139" s="4">
        <f>TRIM(Raw_Data!A139)</f>
        <v/>
      </c>
      <c r="B139" s="5">
        <f>Raw_Data!B139</f>
        <v/>
      </c>
      <c r="C139" s="4">
        <f>TRIM(Raw_Data!C139)</f>
        <v/>
      </c>
      <c r="D139" s="4">
        <f>PROPER(TRIM(Raw_Data!D139))</f>
        <v/>
      </c>
      <c r="E139" s="4">
        <f>Raw_Data!E139</f>
        <v/>
      </c>
      <c r="F139" s="6">
        <f>ROUND(Raw_Data!F139,2)</f>
        <v/>
      </c>
      <c r="G139" s="4">
        <f>PROPER(TRIM(Raw_Data!G139))</f>
        <v/>
      </c>
      <c r="H139" s="4">
        <f>PROPER(TRIM(Raw_Data!H139))</f>
        <v/>
      </c>
      <c r="I139" s="4">
        <f>PROPER(TRIM(Raw_Data!I139))</f>
        <v/>
      </c>
      <c r="J139" s="4">
        <f>TRIM(Raw_Data!J139)</f>
        <v/>
      </c>
      <c r="K139" s="4">
        <f>Raw_Data!K139</f>
        <v/>
      </c>
      <c r="L139" s="4">
        <f>IF(TRIM(Raw_Data!L139)="","No Coupon",TRIM(Raw_Data!L139))</f>
        <v/>
      </c>
      <c r="M139" s="4">
        <f>PROPER(TRIM(Raw_Data!M139))</f>
        <v/>
      </c>
      <c r="N139" s="6">
        <f>ROUND(Raw_Data!N139,2)</f>
        <v/>
      </c>
      <c r="O139" s="7">
        <f>IF(COUNTIF($A$2:$A$1201,A139)&gt;1,"DUPLICATE","Unique")</f>
        <v/>
      </c>
      <c r="P139" s="7">
        <f>IF(COUNTIF($J$2:$J$1201,J139)&gt;1,"DUPLICATE","Unique")</f>
        <v/>
      </c>
      <c r="Q139" s="4">
        <f>IF(TRIM(Raw_Data!L139)="","Yes","No")</f>
        <v/>
      </c>
      <c r="R139" s="4">
        <f>IF(ISNUMBER(B139),"Valid","INVALID")</f>
        <v/>
      </c>
    </row>
    <row r="140">
      <c r="A140" s="4">
        <f>TRIM(Raw_Data!A140)</f>
        <v/>
      </c>
      <c r="B140" s="5">
        <f>Raw_Data!B140</f>
        <v/>
      </c>
      <c r="C140" s="4">
        <f>TRIM(Raw_Data!C140)</f>
        <v/>
      </c>
      <c r="D140" s="4">
        <f>PROPER(TRIM(Raw_Data!D140))</f>
        <v/>
      </c>
      <c r="E140" s="4">
        <f>Raw_Data!E140</f>
        <v/>
      </c>
      <c r="F140" s="6">
        <f>ROUND(Raw_Data!F140,2)</f>
        <v/>
      </c>
      <c r="G140" s="4">
        <f>PROPER(TRIM(Raw_Data!G140))</f>
        <v/>
      </c>
      <c r="H140" s="4">
        <f>PROPER(TRIM(Raw_Data!H140))</f>
        <v/>
      </c>
      <c r="I140" s="4">
        <f>PROPER(TRIM(Raw_Data!I140))</f>
        <v/>
      </c>
      <c r="J140" s="4">
        <f>TRIM(Raw_Data!J140)</f>
        <v/>
      </c>
      <c r="K140" s="4">
        <f>Raw_Data!K140</f>
        <v/>
      </c>
      <c r="L140" s="4">
        <f>IF(TRIM(Raw_Data!L140)="","No Coupon",TRIM(Raw_Data!L140))</f>
        <v/>
      </c>
      <c r="M140" s="4">
        <f>PROPER(TRIM(Raw_Data!M140))</f>
        <v/>
      </c>
      <c r="N140" s="6">
        <f>ROUND(Raw_Data!N140,2)</f>
        <v/>
      </c>
      <c r="O140" s="7">
        <f>IF(COUNTIF($A$2:$A$1201,A140)&gt;1,"DUPLICATE","Unique")</f>
        <v/>
      </c>
      <c r="P140" s="7">
        <f>IF(COUNTIF($J$2:$J$1201,J140)&gt;1,"DUPLICATE","Unique")</f>
        <v/>
      </c>
      <c r="Q140" s="4">
        <f>IF(TRIM(Raw_Data!L140)="","Yes","No")</f>
        <v/>
      </c>
      <c r="R140" s="4">
        <f>IF(ISNUMBER(B140),"Valid","INVALID")</f>
        <v/>
      </c>
    </row>
    <row r="141">
      <c r="A141" s="4">
        <f>TRIM(Raw_Data!A141)</f>
        <v/>
      </c>
      <c r="B141" s="5">
        <f>Raw_Data!B141</f>
        <v/>
      </c>
      <c r="C141" s="4">
        <f>TRIM(Raw_Data!C141)</f>
        <v/>
      </c>
      <c r="D141" s="4">
        <f>PROPER(TRIM(Raw_Data!D141))</f>
        <v/>
      </c>
      <c r="E141" s="4">
        <f>Raw_Data!E141</f>
        <v/>
      </c>
      <c r="F141" s="6">
        <f>ROUND(Raw_Data!F141,2)</f>
        <v/>
      </c>
      <c r="G141" s="4">
        <f>PROPER(TRIM(Raw_Data!G141))</f>
        <v/>
      </c>
      <c r="H141" s="4">
        <f>PROPER(TRIM(Raw_Data!H141))</f>
        <v/>
      </c>
      <c r="I141" s="4">
        <f>PROPER(TRIM(Raw_Data!I141))</f>
        <v/>
      </c>
      <c r="J141" s="4">
        <f>TRIM(Raw_Data!J141)</f>
        <v/>
      </c>
      <c r="K141" s="4">
        <f>Raw_Data!K141</f>
        <v/>
      </c>
      <c r="L141" s="4">
        <f>IF(TRIM(Raw_Data!L141)="","No Coupon",TRIM(Raw_Data!L141))</f>
        <v/>
      </c>
      <c r="M141" s="4">
        <f>PROPER(TRIM(Raw_Data!M141))</f>
        <v/>
      </c>
      <c r="N141" s="6">
        <f>ROUND(Raw_Data!N141,2)</f>
        <v/>
      </c>
      <c r="O141" s="7">
        <f>IF(COUNTIF($A$2:$A$1201,A141)&gt;1,"DUPLICATE","Unique")</f>
        <v/>
      </c>
      <c r="P141" s="7">
        <f>IF(COUNTIF($J$2:$J$1201,J141)&gt;1,"DUPLICATE","Unique")</f>
        <v/>
      </c>
      <c r="Q141" s="4">
        <f>IF(TRIM(Raw_Data!L141)="","Yes","No")</f>
        <v/>
      </c>
      <c r="R141" s="4">
        <f>IF(ISNUMBER(B141),"Valid","INVALID")</f>
        <v/>
      </c>
    </row>
    <row r="142">
      <c r="A142" s="4">
        <f>TRIM(Raw_Data!A142)</f>
        <v/>
      </c>
      <c r="B142" s="5">
        <f>Raw_Data!B142</f>
        <v/>
      </c>
      <c r="C142" s="4">
        <f>TRIM(Raw_Data!C142)</f>
        <v/>
      </c>
      <c r="D142" s="4">
        <f>PROPER(TRIM(Raw_Data!D142))</f>
        <v/>
      </c>
      <c r="E142" s="4">
        <f>Raw_Data!E142</f>
        <v/>
      </c>
      <c r="F142" s="6">
        <f>ROUND(Raw_Data!F142,2)</f>
        <v/>
      </c>
      <c r="G142" s="4">
        <f>PROPER(TRIM(Raw_Data!G142))</f>
        <v/>
      </c>
      <c r="H142" s="4">
        <f>PROPER(TRIM(Raw_Data!H142))</f>
        <v/>
      </c>
      <c r="I142" s="4">
        <f>PROPER(TRIM(Raw_Data!I142))</f>
        <v/>
      </c>
      <c r="J142" s="4">
        <f>TRIM(Raw_Data!J142)</f>
        <v/>
      </c>
      <c r="K142" s="4">
        <f>Raw_Data!K142</f>
        <v/>
      </c>
      <c r="L142" s="4">
        <f>IF(TRIM(Raw_Data!L142)="","No Coupon",TRIM(Raw_Data!L142))</f>
        <v/>
      </c>
      <c r="M142" s="4">
        <f>PROPER(TRIM(Raw_Data!M142))</f>
        <v/>
      </c>
      <c r="N142" s="6">
        <f>ROUND(Raw_Data!N142,2)</f>
        <v/>
      </c>
      <c r="O142" s="7">
        <f>IF(COUNTIF($A$2:$A$1201,A142)&gt;1,"DUPLICATE","Unique")</f>
        <v/>
      </c>
      <c r="P142" s="7">
        <f>IF(COUNTIF($J$2:$J$1201,J142)&gt;1,"DUPLICATE","Unique")</f>
        <v/>
      </c>
      <c r="Q142" s="4">
        <f>IF(TRIM(Raw_Data!L142)="","Yes","No")</f>
        <v/>
      </c>
      <c r="R142" s="4">
        <f>IF(ISNUMBER(B142),"Valid","INVALID")</f>
        <v/>
      </c>
    </row>
    <row r="143">
      <c r="A143" s="4">
        <f>TRIM(Raw_Data!A143)</f>
        <v/>
      </c>
      <c r="B143" s="5">
        <f>Raw_Data!B143</f>
        <v/>
      </c>
      <c r="C143" s="4">
        <f>TRIM(Raw_Data!C143)</f>
        <v/>
      </c>
      <c r="D143" s="4">
        <f>PROPER(TRIM(Raw_Data!D143))</f>
        <v/>
      </c>
      <c r="E143" s="4">
        <f>Raw_Data!E143</f>
        <v/>
      </c>
      <c r="F143" s="6">
        <f>ROUND(Raw_Data!F143,2)</f>
        <v/>
      </c>
      <c r="G143" s="4">
        <f>PROPER(TRIM(Raw_Data!G143))</f>
        <v/>
      </c>
      <c r="H143" s="4">
        <f>PROPER(TRIM(Raw_Data!H143))</f>
        <v/>
      </c>
      <c r="I143" s="4">
        <f>PROPER(TRIM(Raw_Data!I143))</f>
        <v/>
      </c>
      <c r="J143" s="4">
        <f>TRIM(Raw_Data!J143)</f>
        <v/>
      </c>
      <c r="K143" s="4">
        <f>Raw_Data!K143</f>
        <v/>
      </c>
      <c r="L143" s="4">
        <f>IF(TRIM(Raw_Data!L143)="","No Coupon",TRIM(Raw_Data!L143))</f>
        <v/>
      </c>
      <c r="M143" s="4">
        <f>PROPER(TRIM(Raw_Data!M143))</f>
        <v/>
      </c>
      <c r="N143" s="6">
        <f>ROUND(Raw_Data!N143,2)</f>
        <v/>
      </c>
      <c r="O143" s="7">
        <f>IF(COUNTIF($A$2:$A$1201,A143)&gt;1,"DUPLICATE","Unique")</f>
        <v/>
      </c>
      <c r="P143" s="7">
        <f>IF(COUNTIF($J$2:$J$1201,J143)&gt;1,"DUPLICATE","Unique")</f>
        <v/>
      </c>
      <c r="Q143" s="4">
        <f>IF(TRIM(Raw_Data!L143)="","Yes","No")</f>
        <v/>
      </c>
      <c r="R143" s="4">
        <f>IF(ISNUMBER(B143),"Valid","INVALID")</f>
        <v/>
      </c>
    </row>
    <row r="144">
      <c r="A144" s="4">
        <f>TRIM(Raw_Data!A144)</f>
        <v/>
      </c>
      <c r="B144" s="5">
        <f>Raw_Data!B144</f>
        <v/>
      </c>
      <c r="C144" s="4">
        <f>TRIM(Raw_Data!C144)</f>
        <v/>
      </c>
      <c r="D144" s="4">
        <f>PROPER(TRIM(Raw_Data!D144))</f>
        <v/>
      </c>
      <c r="E144" s="4">
        <f>Raw_Data!E144</f>
        <v/>
      </c>
      <c r="F144" s="6">
        <f>ROUND(Raw_Data!F144,2)</f>
        <v/>
      </c>
      <c r="G144" s="4">
        <f>PROPER(TRIM(Raw_Data!G144))</f>
        <v/>
      </c>
      <c r="H144" s="4">
        <f>PROPER(TRIM(Raw_Data!H144))</f>
        <v/>
      </c>
      <c r="I144" s="4">
        <f>PROPER(TRIM(Raw_Data!I144))</f>
        <v/>
      </c>
      <c r="J144" s="4">
        <f>TRIM(Raw_Data!J144)</f>
        <v/>
      </c>
      <c r="K144" s="4">
        <f>Raw_Data!K144</f>
        <v/>
      </c>
      <c r="L144" s="4">
        <f>IF(TRIM(Raw_Data!L144)="","No Coupon",TRIM(Raw_Data!L144))</f>
        <v/>
      </c>
      <c r="M144" s="4">
        <f>PROPER(TRIM(Raw_Data!M144))</f>
        <v/>
      </c>
      <c r="N144" s="6">
        <f>ROUND(Raw_Data!N144,2)</f>
        <v/>
      </c>
      <c r="O144" s="7">
        <f>IF(COUNTIF($A$2:$A$1201,A144)&gt;1,"DUPLICATE","Unique")</f>
        <v/>
      </c>
      <c r="P144" s="7">
        <f>IF(COUNTIF($J$2:$J$1201,J144)&gt;1,"DUPLICATE","Unique")</f>
        <v/>
      </c>
      <c r="Q144" s="4">
        <f>IF(TRIM(Raw_Data!L144)="","Yes","No")</f>
        <v/>
      </c>
      <c r="R144" s="4">
        <f>IF(ISNUMBER(B144),"Valid","INVALID")</f>
        <v/>
      </c>
    </row>
    <row r="145">
      <c r="A145" s="4">
        <f>TRIM(Raw_Data!A145)</f>
        <v/>
      </c>
      <c r="B145" s="5">
        <f>Raw_Data!B145</f>
        <v/>
      </c>
      <c r="C145" s="4">
        <f>TRIM(Raw_Data!C145)</f>
        <v/>
      </c>
      <c r="D145" s="4">
        <f>PROPER(TRIM(Raw_Data!D145))</f>
        <v/>
      </c>
      <c r="E145" s="4">
        <f>Raw_Data!E145</f>
        <v/>
      </c>
      <c r="F145" s="6">
        <f>ROUND(Raw_Data!F145,2)</f>
        <v/>
      </c>
      <c r="G145" s="4">
        <f>PROPER(TRIM(Raw_Data!G145))</f>
        <v/>
      </c>
      <c r="H145" s="4">
        <f>PROPER(TRIM(Raw_Data!H145))</f>
        <v/>
      </c>
      <c r="I145" s="4">
        <f>PROPER(TRIM(Raw_Data!I145))</f>
        <v/>
      </c>
      <c r="J145" s="4">
        <f>TRIM(Raw_Data!J145)</f>
        <v/>
      </c>
      <c r="K145" s="4">
        <f>Raw_Data!K145</f>
        <v/>
      </c>
      <c r="L145" s="4">
        <f>IF(TRIM(Raw_Data!L145)="","No Coupon",TRIM(Raw_Data!L145))</f>
        <v/>
      </c>
      <c r="M145" s="4">
        <f>PROPER(TRIM(Raw_Data!M145))</f>
        <v/>
      </c>
      <c r="N145" s="6">
        <f>ROUND(Raw_Data!N145,2)</f>
        <v/>
      </c>
      <c r="O145" s="7">
        <f>IF(COUNTIF($A$2:$A$1201,A145)&gt;1,"DUPLICATE","Unique")</f>
        <v/>
      </c>
      <c r="P145" s="7">
        <f>IF(COUNTIF($J$2:$J$1201,J145)&gt;1,"DUPLICATE","Unique")</f>
        <v/>
      </c>
      <c r="Q145" s="4">
        <f>IF(TRIM(Raw_Data!L145)="","Yes","No")</f>
        <v/>
      </c>
      <c r="R145" s="4">
        <f>IF(ISNUMBER(B145),"Valid","INVALID")</f>
        <v/>
      </c>
    </row>
    <row r="146">
      <c r="A146" s="4">
        <f>TRIM(Raw_Data!A146)</f>
        <v/>
      </c>
      <c r="B146" s="5">
        <f>Raw_Data!B146</f>
        <v/>
      </c>
      <c r="C146" s="4">
        <f>TRIM(Raw_Data!C146)</f>
        <v/>
      </c>
      <c r="D146" s="4">
        <f>PROPER(TRIM(Raw_Data!D146))</f>
        <v/>
      </c>
      <c r="E146" s="4">
        <f>Raw_Data!E146</f>
        <v/>
      </c>
      <c r="F146" s="6">
        <f>ROUND(Raw_Data!F146,2)</f>
        <v/>
      </c>
      <c r="G146" s="4">
        <f>PROPER(TRIM(Raw_Data!G146))</f>
        <v/>
      </c>
      <c r="H146" s="4">
        <f>PROPER(TRIM(Raw_Data!H146))</f>
        <v/>
      </c>
      <c r="I146" s="4">
        <f>PROPER(TRIM(Raw_Data!I146))</f>
        <v/>
      </c>
      <c r="J146" s="4">
        <f>TRIM(Raw_Data!J146)</f>
        <v/>
      </c>
      <c r="K146" s="4">
        <f>Raw_Data!K146</f>
        <v/>
      </c>
      <c r="L146" s="4">
        <f>IF(TRIM(Raw_Data!L146)="","No Coupon",TRIM(Raw_Data!L146))</f>
        <v/>
      </c>
      <c r="M146" s="4">
        <f>PROPER(TRIM(Raw_Data!M146))</f>
        <v/>
      </c>
      <c r="N146" s="6">
        <f>ROUND(Raw_Data!N146,2)</f>
        <v/>
      </c>
      <c r="O146" s="7">
        <f>IF(COUNTIF($A$2:$A$1201,A146)&gt;1,"DUPLICATE","Unique")</f>
        <v/>
      </c>
      <c r="P146" s="7">
        <f>IF(COUNTIF($J$2:$J$1201,J146)&gt;1,"DUPLICATE","Unique")</f>
        <v/>
      </c>
      <c r="Q146" s="4">
        <f>IF(TRIM(Raw_Data!L146)="","Yes","No")</f>
        <v/>
      </c>
      <c r="R146" s="4">
        <f>IF(ISNUMBER(B146),"Valid","INVALID")</f>
        <v/>
      </c>
    </row>
    <row r="147">
      <c r="A147" s="4">
        <f>TRIM(Raw_Data!A147)</f>
        <v/>
      </c>
      <c r="B147" s="5">
        <f>Raw_Data!B147</f>
        <v/>
      </c>
      <c r="C147" s="4">
        <f>TRIM(Raw_Data!C147)</f>
        <v/>
      </c>
      <c r="D147" s="4">
        <f>PROPER(TRIM(Raw_Data!D147))</f>
        <v/>
      </c>
      <c r="E147" s="4">
        <f>Raw_Data!E147</f>
        <v/>
      </c>
      <c r="F147" s="6">
        <f>ROUND(Raw_Data!F147,2)</f>
        <v/>
      </c>
      <c r="G147" s="4">
        <f>PROPER(TRIM(Raw_Data!G147))</f>
        <v/>
      </c>
      <c r="H147" s="4">
        <f>PROPER(TRIM(Raw_Data!H147))</f>
        <v/>
      </c>
      <c r="I147" s="4">
        <f>PROPER(TRIM(Raw_Data!I147))</f>
        <v/>
      </c>
      <c r="J147" s="4">
        <f>TRIM(Raw_Data!J147)</f>
        <v/>
      </c>
      <c r="K147" s="4">
        <f>Raw_Data!K147</f>
        <v/>
      </c>
      <c r="L147" s="4">
        <f>IF(TRIM(Raw_Data!L147)="","No Coupon",TRIM(Raw_Data!L147))</f>
        <v/>
      </c>
      <c r="M147" s="4">
        <f>PROPER(TRIM(Raw_Data!M147))</f>
        <v/>
      </c>
      <c r="N147" s="6">
        <f>ROUND(Raw_Data!N147,2)</f>
        <v/>
      </c>
      <c r="O147" s="7">
        <f>IF(COUNTIF($A$2:$A$1201,A147)&gt;1,"DUPLICATE","Unique")</f>
        <v/>
      </c>
      <c r="P147" s="7">
        <f>IF(COUNTIF($J$2:$J$1201,J147)&gt;1,"DUPLICATE","Unique")</f>
        <v/>
      </c>
      <c r="Q147" s="4">
        <f>IF(TRIM(Raw_Data!L147)="","Yes","No")</f>
        <v/>
      </c>
      <c r="R147" s="4">
        <f>IF(ISNUMBER(B147),"Valid","INVALID")</f>
        <v/>
      </c>
    </row>
    <row r="148">
      <c r="A148" s="4">
        <f>TRIM(Raw_Data!A148)</f>
        <v/>
      </c>
      <c r="B148" s="5">
        <f>Raw_Data!B148</f>
        <v/>
      </c>
      <c r="C148" s="4">
        <f>TRIM(Raw_Data!C148)</f>
        <v/>
      </c>
      <c r="D148" s="4">
        <f>PROPER(TRIM(Raw_Data!D148))</f>
        <v/>
      </c>
      <c r="E148" s="4">
        <f>Raw_Data!E148</f>
        <v/>
      </c>
      <c r="F148" s="6">
        <f>ROUND(Raw_Data!F148,2)</f>
        <v/>
      </c>
      <c r="G148" s="4">
        <f>PROPER(TRIM(Raw_Data!G148))</f>
        <v/>
      </c>
      <c r="H148" s="4">
        <f>PROPER(TRIM(Raw_Data!H148))</f>
        <v/>
      </c>
      <c r="I148" s="4">
        <f>PROPER(TRIM(Raw_Data!I148))</f>
        <v/>
      </c>
      <c r="J148" s="4">
        <f>TRIM(Raw_Data!J148)</f>
        <v/>
      </c>
      <c r="K148" s="4">
        <f>Raw_Data!K148</f>
        <v/>
      </c>
      <c r="L148" s="4">
        <f>IF(TRIM(Raw_Data!L148)="","No Coupon",TRIM(Raw_Data!L148))</f>
        <v/>
      </c>
      <c r="M148" s="4">
        <f>PROPER(TRIM(Raw_Data!M148))</f>
        <v/>
      </c>
      <c r="N148" s="6">
        <f>ROUND(Raw_Data!N148,2)</f>
        <v/>
      </c>
      <c r="O148" s="7">
        <f>IF(COUNTIF($A$2:$A$1201,A148)&gt;1,"DUPLICATE","Unique")</f>
        <v/>
      </c>
      <c r="P148" s="7">
        <f>IF(COUNTIF($J$2:$J$1201,J148)&gt;1,"DUPLICATE","Unique")</f>
        <v/>
      </c>
      <c r="Q148" s="4">
        <f>IF(TRIM(Raw_Data!L148)="","Yes","No")</f>
        <v/>
      </c>
      <c r="R148" s="4">
        <f>IF(ISNUMBER(B148),"Valid","INVALID")</f>
        <v/>
      </c>
    </row>
    <row r="149">
      <c r="A149" s="4">
        <f>TRIM(Raw_Data!A149)</f>
        <v/>
      </c>
      <c r="B149" s="5">
        <f>Raw_Data!B149</f>
        <v/>
      </c>
      <c r="C149" s="4">
        <f>TRIM(Raw_Data!C149)</f>
        <v/>
      </c>
      <c r="D149" s="4">
        <f>PROPER(TRIM(Raw_Data!D149))</f>
        <v/>
      </c>
      <c r="E149" s="4">
        <f>Raw_Data!E149</f>
        <v/>
      </c>
      <c r="F149" s="6">
        <f>ROUND(Raw_Data!F149,2)</f>
        <v/>
      </c>
      <c r="G149" s="4">
        <f>PROPER(TRIM(Raw_Data!G149))</f>
        <v/>
      </c>
      <c r="H149" s="4">
        <f>PROPER(TRIM(Raw_Data!H149))</f>
        <v/>
      </c>
      <c r="I149" s="4">
        <f>PROPER(TRIM(Raw_Data!I149))</f>
        <v/>
      </c>
      <c r="J149" s="4">
        <f>TRIM(Raw_Data!J149)</f>
        <v/>
      </c>
      <c r="K149" s="4">
        <f>Raw_Data!K149</f>
        <v/>
      </c>
      <c r="L149" s="4">
        <f>IF(TRIM(Raw_Data!L149)="","No Coupon",TRIM(Raw_Data!L149))</f>
        <v/>
      </c>
      <c r="M149" s="4">
        <f>PROPER(TRIM(Raw_Data!M149))</f>
        <v/>
      </c>
      <c r="N149" s="6">
        <f>ROUND(Raw_Data!N149,2)</f>
        <v/>
      </c>
      <c r="O149" s="7">
        <f>IF(COUNTIF($A$2:$A$1201,A149)&gt;1,"DUPLICATE","Unique")</f>
        <v/>
      </c>
      <c r="P149" s="7">
        <f>IF(COUNTIF($J$2:$J$1201,J149)&gt;1,"DUPLICATE","Unique")</f>
        <v/>
      </c>
      <c r="Q149" s="4">
        <f>IF(TRIM(Raw_Data!L149)="","Yes","No")</f>
        <v/>
      </c>
      <c r="R149" s="4">
        <f>IF(ISNUMBER(B149),"Valid","INVALID")</f>
        <v/>
      </c>
    </row>
    <row r="150">
      <c r="A150" s="4">
        <f>TRIM(Raw_Data!A150)</f>
        <v/>
      </c>
      <c r="B150" s="5">
        <f>Raw_Data!B150</f>
        <v/>
      </c>
      <c r="C150" s="4">
        <f>TRIM(Raw_Data!C150)</f>
        <v/>
      </c>
      <c r="D150" s="4">
        <f>PROPER(TRIM(Raw_Data!D150))</f>
        <v/>
      </c>
      <c r="E150" s="4">
        <f>Raw_Data!E150</f>
        <v/>
      </c>
      <c r="F150" s="6">
        <f>ROUND(Raw_Data!F150,2)</f>
        <v/>
      </c>
      <c r="G150" s="4">
        <f>PROPER(TRIM(Raw_Data!G150))</f>
        <v/>
      </c>
      <c r="H150" s="4">
        <f>PROPER(TRIM(Raw_Data!H150))</f>
        <v/>
      </c>
      <c r="I150" s="4">
        <f>PROPER(TRIM(Raw_Data!I150))</f>
        <v/>
      </c>
      <c r="J150" s="4">
        <f>TRIM(Raw_Data!J150)</f>
        <v/>
      </c>
      <c r="K150" s="4">
        <f>Raw_Data!K150</f>
        <v/>
      </c>
      <c r="L150" s="4">
        <f>IF(TRIM(Raw_Data!L150)="","No Coupon",TRIM(Raw_Data!L150))</f>
        <v/>
      </c>
      <c r="M150" s="4">
        <f>PROPER(TRIM(Raw_Data!M150))</f>
        <v/>
      </c>
      <c r="N150" s="6">
        <f>ROUND(Raw_Data!N150,2)</f>
        <v/>
      </c>
      <c r="O150" s="7">
        <f>IF(COUNTIF($A$2:$A$1201,A150)&gt;1,"DUPLICATE","Unique")</f>
        <v/>
      </c>
      <c r="P150" s="7">
        <f>IF(COUNTIF($J$2:$J$1201,J150)&gt;1,"DUPLICATE","Unique")</f>
        <v/>
      </c>
      <c r="Q150" s="4">
        <f>IF(TRIM(Raw_Data!L150)="","Yes","No")</f>
        <v/>
      </c>
      <c r="R150" s="4">
        <f>IF(ISNUMBER(B150),"Valid","INVALID")</f>
        <v/>
      </c>
    </row>
    <row r="151">
      <c r="A151" s="4">
        <f>TRIM(Raw_Data!A151)</f>
        <v/>
      </c>
      <c r="B151" s="5">
        <f>Raw_Data!B151</f>
        <v/>
      </c>
      <c r="C151" s="4">
        <f>TRIM(Raw_Data!C151)</f>
        <v/>
      </c>
      <c r="D151" s="4">
        <f>PROPER(TRIM(Raw_Data!D151))</f>
        <v/>
      </c>
      <c r="E151" s="4">
        <f>Raw_Data!E151</f>
        <v/>
      </c>
      <c r="F151" s="6">
        <f>ROUND(Raw_Data!F151,2)</f>
        <v/>
      </c>
      <c r="G151" s="4">
        <f>PROPER(TRIM(Raw_Data!G151))</f>
        <v/>
      </c>
      <c r="H151" s="4">
        <f>PROPER(TRIM(Raw_Data!H151))</f>
        <v/>
      </c>
      <c r="I151" s="4">
        <f>PROPER(TRIM(Raw_Data!I151))</f>
        <v/>
      </c>
      <c r="J151" s="4">
        <f>TRIM(Raw_Data!J151)</f>
        <v/>
      </c>
      <c r="K151" s="4">
        <f>Raw_Data!K151</f>
        <v/>
      </c>
      <c r="L151" s="4">
        <f>IF(TRIM(Raw_Data!L151)="","No Coupon",TRIM(Raw_Data!L151))</f>
        <v/>
      </c>
      <c r="M151" s="4">
        <f>PROPER(TRIM(Raw_Data!M151))</f>
        <v/>
      </c>
      <c r="N151" s="6">
        <f>ROUND(Raw_Data!N151,2)</f>
        <v/>
      </c>
      <c r="O151" s="7">
        <f>IF(COUNTIF($A$2:$A$1201,A151)&gt;1,"DUPLICATE","Unique")</f>
        <v/>
      </c>
      <c r="P151" s="7">
        <f>IF(COUNTIF($J$2:$J$1201,J151)&gt;1,"DUPLICATE","Unique")</f>
        <v/>
      </c>
      <c r="Q151" s="4">
        <f>IF(TRIM(Raw_Data!L151)="","Yes","No")</f>
        <v/>
      </c>
      <c r="R151" s="4">
        <f>IF(ISNUMBER(B151),"Valid","INVALID")</f>
        <v/>
      </c>
    </row>
    <row r="152">
      <c r="A152" s="4">
        <f>TRIM(Raw_Data!A152)</f>
        <v/>
      </c>
      <c r="B152" s="5">
        <f>Raw_Data!B152</f>
        <v/>
      </c>
      <c r="C152" s="4">
        <f>TRIM(Raw_Data!C152)</f>
        <v/>
      </c>
      <c r="D152" s="4">
        <f>PROPER(TRIM(Raw_Data!D152))</f>
        <v/>
      </c>
      <c r="E152" s="4">
        <f>Raw_Data!E152</f>
        <v/>
      </c>
      <c r="F152" s="6">
        <f>ROUND(Raw_Data!F152,2)</f>
        <v/>
      </c>
      <c r="G152" s="4">
        <f>PROPER(TRIM(Raw_Data!G152))</f>
        <v/>
      </c>
      <c r="H152" s="4">
        <f>PROPER(TRIM(Raw_Data!H152))</f>
        <v/>
      </c>
      <c r="I152" s="4">
        <f>PROPER(TRIM(Raw_Data!I152))</f>
        <v/>
      </c>
      <c r="J152" s="4">
        <f>TRIM(Raw_Data!J152)</f>
        <v/>
      </c>
      <c r="K152" s="4">
        <f>Raw_Data!K152</f>
        <v/>
      </c>
      <c r="L152" s="4">
        <f>IF(TRIM(Raw_Data!L152)="","No Coupon",TRIM(Raw_Data!L152))</f>
        <v/>
      </c>
      <c r="M152" s="4">
        <f>PROPER(TRIM(Raw_Data!M152))</f>
        <v/>
      </c>
      <c r="N152" s="6">
        <f>ROUND(Raw_Data!N152,2)</f>
        <v/>
      </c>
      <c r="O152" s="7">
        <f>IF(COUNTIF($A$2:$A$1201,A152)&gt;1,"DUPLICATE","Unique")</f>
        <v/>
      </c>
      <c r="P152" s="7">
        <f>IF(COUNTIF($J$2:$J$1201,J152)&gt;1,"DUPLICATE","Unique")</f>
        <v/>
      </c>
      <c r="Q152" s="4">
        <f>IF(TRIM(Raw_Data!L152)="","Yes","No")</f>
        <v/>
      </c>
      <c r="R152" s="4">
        <f>IF(ISNUMBER(B152),"Valid","INVALID")</f>
        <v/>
      </c>
    </row>
    <row r="153">
      <c r="A153" s="4">
        <f>TRIM(Raw_Data!A153)</f>
        <v/>
      </c>
      <c r="B153" s="5">
        <f>Raw_Data!B153</f>
        <v/>
      </c>
      <c r="C153" s="4">
        <f>TRIM(Raw_Data!C153)</f>
        <v/>
      </c>
      <c r="D153" s="4">
        <f>PROPER(TRIM(Raw_Data!D153))</f>
        <v/>
      </c>
      <c r="E153" s="4">
        <f>Raw_Data!E153</f>
        <v/>
      </c>
      <c r="F153" s="6">
        <f>ROUND(Raw_Data!F153,2)</f>
        <v/>
      </c>
      <c r="G153" s="4">
        <f>PROPER(TRIM(Raw_Data!G153))</f>
        <v/>
      </c>
      <c r="H153" s="4">
        <f>PROPER(TRIM(Raw_Data!H153))</f>
        <v/>
      </c>
      <c r="I153" s="4">
        <f>PROPER(TRIM(Raw_Data!I153))</f>
        <v/>
      </c>
      <c r="J153" s="4">
        <f>TRIM(Raw_Data!J153)</f>
        <v/>
      </c>
      <c r="K153" s="4">
        <f>Raw_Data!K153</f>
        <v/>
      </c>
      <c r="L153" s="4">
        <f>IF(TRIM(Raw_Data!L153)="","No Coupon",TRIM(Raw_Data!L153))</f>
        <v/>
      </c>
      <c r="M153" s="4">
        <f>PROPER(TRIM(Raw_Data!M153))</f>
        <v/>
      </c>
      <c r="N153" s="6">
        <f>ROUND(Raw_Data!N153,2)</f>
        <v/>
      </c>
      <c r="O153" s="7">
        <f>IF(COUNTIF($A$2:$A$1201,A153)&gt;1,"DUPLICATE","Unique")</f>
        <v/>
      </c>
      <c r="P153" s="7">
        <f>IF(COUNTIF($J$2:$J$1201,J153)&gt;1,"DUPLICATE","Unique")</f>
        <v/>
      </c>
      <c r="Q153" s="4">
        <f>IF(TRIM(Raw_Data!L153)="","Yes","No")</f>
        <v/>
      </c>
      <c r="R153" s="4">
        <f>IF(ISNUMBER(B153),"Valid","INVALID")</f>
        <v/>
      </c>
    </row>
    <row r="154">
      <c r="A154" s="4">
        <f>TRIM(Raw_Data!A154)</f>
        <v/>
      </c>
      <c r="B154" s="5">
        <f>Raw_Data!B154</f>
        <v/>
      </c>
      <c r="C154" s="4">
        <f>TRIM(Raw_Data!C154)</f>
        <v/>
      </c>
      <c r="D154" s="4">
        <f>PROPER(TRIM(Raw_Data!D154))</f>
        <v/>
      </c>
      <c r="E154" s="4">
        <f>Raw_Data!E154</f>
        <v/>
      </c>
      <c r="F154" s="6">
        <f>ROUND(Raw_Data!F154,2)</f>
        <v/>
      </c>
      <c r="G154" s="4">
        <f>PROPER(TRIM(Raw_Data!G154))</f>
        <v/>
      </c>
      <c r="H154" s="4">
        <f>PROPER(TRIM(Raw_Data!H154))</f>
        <v/>
      </c>
      <c r="I154" s="4">
        <f>PROPER(TRIM(Raw_Data!I154))</f>
        <v/>
      </c>
      <c r="J154" s="4">
        <f>TRIM(Raw_Data!J154)</f>
        <v/>
      </c>
      <c r="K154" s="4">
        <f>Raw_Data!K154</f>
        <v/>
      </c>
      <c r="L154" s="4">
        <f>IF(TRIM(Raw_Data!L154)="","No Coupon",TRIM(Raw_Data!L154))</f>
        <v/>
      </c>
      <c r="M154" s="4">
        <f>PROPER(TRIM(Raw_Data!M154))</f>
        <v/>
      </c>
      <c r="N154" s="6">
        <f>ROUND(Raw_Data!N154,2)</f>
        <v/>
      </c>
      <c r="O154" s="7">
        <f>IF(COUNTIF($A$2:$A$1201,A154)&gt;1,"DUPLICATE","Unique")</f>
        <v/>
      </c>
      <c r="P154" s="7">
        <f>IF(COUNTIF($J$2:$J$1201,J154)&gt;1,"DUPLICATE","Unique")</f>
        <v/>
      </c>
      <c r="Q154" s="4">
        <f>IF(TRIM(Raw_Data!L154)="","Yes","No")</f>
        <v/>
      </c>
      <c r="R154" s="4">
        <f>IF(ISNUMBER(B154),"Valid","INVALID")</f>
        <v/>
      </c>
    </row>
    <row r="155">
      <c r="A155" s="4">
        <f>TRIM(Raw_Data!A155)</f>
        <v/>
      </c>
      <c r="B155" s="5">
        <f>Raw_Data!B155</f>
        <v/>
      </c>
      <c r="C155" s="4">
        <f>TRIM(Raw_Data!C155)</f>
        <v/>
      </c>
      <c r="D155" s="4">
        <f>PROPER(TRIM(Raw_Data!D155))</f>
        <v/>
      </c>
      <c r="E155" s="4">
        <f>Raw_Data!E155</f>
        <v/>
      </c>
      <c r="F155" s="6">
        <f>ROUND(Raw_Data!F155,2)</f>
        <v/>
      </c>
      <c r="G155" s="4">
        <f>PROPER(TRIM(Raw_Data!G155))</f>
        <v/>
      </c>
      <c r="H155" s="4">
        <f>PROPER(TRIM(Raw_Data!H155))</f>
        <v/>
      </c>
      <c r="I155" s="4">
        <f>PROPER(TRIM(Raw_Data!I155))</f>
        <v/>
      </c>
      <c r="J155" s="4">
        <f>TRIM(Raw_Data!J155)</f>
        <v/>
      </c>
      <c r="K155" s="4">
        <f>Raw_Data!K155</f>
        <v/>
      </c>
      <c r="L155" s="4">
        <f>IF(TRIM(Raw_Data!L155)="","No Coupon",TRIM(Raw_Data!L155))</f>
        <v/>
      </c>
      <c r="M155" s="4">
        <f>PROPER(TRIM(Raw_Data!M155))</f>
        <v/>
      </c>
      <c r="N155" s="6">
        <f>ROUND(Raw_Data!N155,2)</f>
        <v/>
      </c>
      <c r="O155" s="7">
        <f>IF(COUNTIF($A$2:$A$1201,A155)&gt;1,"DUPLICATE","Unique")</f>
        <v/>
      </c>
      <c r="P155" s="7">
        <f>IF(COUNTIF($J$2:$J$1201,J155)&gt;1,"DUPLICATE","Unique")</f>
        <v/>
      </c>
      <c r="Q155" s="4">
        <f>IF(TRIM(Raw_Data!L155)="","Yes","No")</f>
        <v/>
      </c>
      <c r="R155" s="4">
        <f>IF(ISNUMBER(B155),"Valid","INVALID")</f>
        <v/>
      </c>
    </row>
    <row r="156">
      <c r="A156" s="4">
        <f>TRIM(Raw_Data!A156)</f>
        <v/>
      </c>
      <c r="B156" s="5">
        <f>Raw_Data!B156</f>
        <v/>
      </c>
      <c r="C156" s="4">
        <f>TRIM(Raw_Data!C156)</f>
        <v/>
      </c>
      <c r="D156" s="4">
        <f>PROPER(TRIM(Raw_Data!D156))</f>
        <v/>
      </c>
      <c r="E156" s="4">
        <f>Raw_Data!E156</f>
        <v/>
      </c>
      <c r="F156" s="6">
        <f>ROUND(Raw_Data!F156,2)</f>
        <v/>
      </c>
      <c r="G156" s="4">
        <f>PROPER(TRIM(Raw_Data!G156))</f>
        <v/>
      </c>
      <c r="H156" s="4">
        <f>PROPER(TRIM(Raw_Data!H156))</f>
        <v/>
      </c>
      <c r="I156" s="4">
        <f>PROPER(TRIM(Raw_Data!I156))</f>
        <v/>
      </c>
      <c r="J156" s="4">
        <f>TRIM(Raw_Data!J156)</f>
        <v/>
      </c>
      <c r="K156" s="4">
        <f>Raw_Data!K156</f>
        <v/>
      </c>
      <c r="L156" s="4">
        <f>IF(TRIM(Raw_Data!L156)="","No Coupon",TRIM(Raw_Data!L156))</f>
        <v/>
      </c>
      <c r="M156" s="4">
        <f>PROPER(TRIM(Raw_Data!M156))</f>
        <v/>
      </c>
      <c r="N156" s="6">
        <f>ROUND(Raw_Data!N156,2)</f>
        <v/>
      </c>
      <c r="O156" s="7">
        <f>IF(COUNTIF($A$2:$A$1201,A156)&gt;1,"DUPLICATE","Unique")</f>
        <v/>
      </c>
      <c r="P156" s="7">
        <f>IF(COUNTIF($J$2:$J$1201,J156)&gt;1,"DUPLICATE","Unique")</f>
        <v/>
      </c>
      <c r="Q156" s="4">
        <f>IF(TRIM(Raw_Data!L156)="","Yes","No")</f>
        <v/>
      </c>
      <c r="R156" s="4">
        <f>IF(ISNUMBER(B156),"Valid","INVALID")</f>
        <v/>
      </c>
    </row>
    <row r="157">
      <c r="A157" s="4">
        <f>TRIM(Raw_Data!A157)</f>
        <v/>
      </c>
      <c r="B157" s="5">
        <f>Raw_Data!B157</f>
        <v/>
      </c>
      <c r="C157" s="4">
        <f>TRIM(Raw_Data!C157)</f>
        <v/>
      </c>
      <c r="D157" s="4">
        <f>PROPER(TRIM(Raw_Data!D157))</f>
        <v/>
      </c>
      <c r="E157" s="4">
        <f>Raw_Data!E157</f>
        <v/>
      </c>
      <c r="F157" s="6">
        <f>ROUND(Raw_Data!F157,2)</f>
        <v/>
      </c>
      <c r="G157" s="4">
        <f>PROPER(TRIM(Raw_Data!G157))</f>
        <v/>
      </c>
      <c r="H157" s="4">
        <f>PROPER(TRIM(Raw_Data!H157))</f>
        <v/>
      </c>
      <c r="I157" s="4">
        <f>PROPER(TRIM(Raw_Data!I157))</f>
        <v/>
      </c>
      <c r="J157" s="4">
        <f>TRIM(Raw_Data!J157)</f>
        <v/>
      </c>
      <c r="K157" s="4">
        <f>Raw_Data!K157</f>
        <v/>
      </c>
      <c r="L157" s="4">
        <f>IF(TRIM(Raw_Data!L157)="","No Coupon",TRIM(Raw_Data!L157))</f>
        <v/>
      </c>
      <c r="M157" s="4">
        <f>PROPER(TRIM(Raw_Data!M157))</f>
        <v/>
      </c>
      <c r="N157" s="6">
        <f>ROUND(Raw_Data!N157,2)</f>
        <v/>
      </c>
      <c r="O157" s="7">
        <f>IF(COUNTIF($A$2:$A$1201,A157)&gt;1,"DUPLICATE","Unique")</f>
        <v/>
      </c>
      <c r="P157" s="7">
        <f>IF(COUNTIF($J$2:$J$1201,J157)&gt;1,"DUPLICATE","Unique")</f>
        <v/>
      </c>
      <c r="Q157" s="4">
        <f>IF(TRIM(Raw_Data!L157)="","Yes","No")</f>
        <v/>
      </c>
      <c r="R157" s="4">
        <f>IF(ISNUMBER(B157),"Valid","INVALID")</f>
        <v/>
      </c>
    </row>
    <row r="158">
      <c r="A158" s="4">
        <f>TRIM(Raw_Data!A158)</f>
        <v/>
      </c>
      <c r="B158" s="5">
        <f>Raw_Data!B158</f>
        <v/>
      </c>
      <c r="C158" s="4">
        <f>TRIM(Raw_Data!C158)</f>
        <v/>
      </c>
      <c r="D158" s="4">
        <f>PROPER(TRIM(Raw_Data!D158))</f>
        <v/>
      </c>
      <c r="E158" s="4">
        <f>Raw_Data!E158</f>
        <v/>
      </c>
      <c r="F158" s="6">
        <f>ROUND(Raw_Data!F158,2)</f>
        <v/>
      </c>
      <c r="G158" s="4">
        <f>PROPER(TRIM(Raw_Data!G158))</f>
        <v/>
      </c>
      <c r="H158" s="4">
        <f>PROPER(TRIM(Raw_Data!H158))</f>
        <v/>
      </c>
      <c r="I158" s="4">
        <f>PROPER(TRIM(Raw_Data!I158))</f>
        <v/>
      </c>
      <c r="J158" s="4">
        <f>TRIM(Raw_Data!J158)</f>
        <v/>
      </c>
      <c r="K158" s="4">
        <f>Raw_Data!K158</f>
        <v/>
      </c>
      <c r="L158" s="4">
        <f>IF(TRIM(Raw_Data!L158)="","No Coupon",TRIM(Raw_Data!L158))</f>
        <v/>
      </c>
      <c r="M158" s="4">
        <f>PROPER(TRIM(Raw_Data!M158))</f>
        <v/>
      </c>
      <c r="N158" s="6">
        <f>ROUND(Raw_Data!N158,2)</f>
        <v/>
      </c>
      <c r="O158" s="7">
        <f>IF(COUNTIF($A$2:$A$1201,A158)&gt;1,"DUPLICATE","Unique")</f>
        <v/>
      </c>
      <c r="P158" s="7">
        <f>IF(COUNTIF($J$2:$J$1201,J158)&gt;1,"DUPLICATE","Unique")</f>
        <v/>
      </c>
      <c r="Q158" s="4">
        <f>IF(TRIM(Raw_Data!L158)="","Yes","No")</f>
        <v/>
      </c>
      <c r="R158" s="4">
        <f>IF(ISNUMBER(B158),"Valid","INVALID")</f>
        <v/>
      </c>
    </row>
    <row r="159">
      <c r="A159" s="4">
        <f>TRIM(Raw_Data!A159)</f>
        <v/>
      </c>
      <c r="B159" s="5">
        <f>Raw_Data!B159</f>
        <v/>
      </c>
      <c r="C159" s="4">
        <f>TRIM(Raw_Data!C159)</f>
        <v/>
      </c>
      <c r="D159" s="4">
        <f>PROPER(TRIM(Raw_Data!D159))</f>
        <v/>
      </c>
      <c r="E159" s="4">
        <f>Raw_Data!E159</f>
        <v/>
      </c>
      <c r="F159" s="6">
        <f>ROUND(Raw_Data!F159,2)</f>
        <v/>
      </c>
      <c r="G159" s="4">
        <f>PROPER(TRIM(Raw_Data!G159))</f>
        <v/>
      </c>
      <c r="H159" s="4">
        <f>PROPER(TRIM(Raw_Data!H159))</f>
        <v/>
      </c>
      <c r="I159" s="4">
        <f>PROPER(TRIM(Raw_Data!I159))</f>
        <v/>
      </c>
      <c r="J159" s="4">
        <f>TRIM(Raw_Data!J159)</f>
        <v/>
      </c>
      <c r="K159" s="4">
        <f>Raw_Data!K159</f>
        <v/>
      </c>
      <c r="L159" s="4">
        <f>IF(TRIM(Raw_Data!L159)="","No Coupon",TRIM(Raw_Data!L159))</f>
        <v/>
      </c>
      <c r="M159" s="4">
        <f>PROPER(TRIM(Raw_Data!M159))</f>
        <v/>
      </c>
      <c r="N159" s="6">
        <f>ROUND(Raw_Data!N159,2)</f>
        <v/>
      </c>
      <c r="O159" s="7">
        <f>IF(COUNTIF($A$2:$A$1201,A159)&gt;1,"DUPLICATE","Unique")</f>
        <v/>
      </c>
      <c r="P159" s="7">
        <f>IF(COUNTIF($J$2:$J$1201,J159)&gt;1,"DUPLICATE","Unique")</f>
        <v/>
      </c>
      <c r="Q159" s="4">
        <f>IF(TRIM(Raw_Data!L159)="","Yes","No")</f>
        <v/>
      </c>
      <c r="R159" s="4">
        <f>IF(ISNUMBER(B159),"Valid","INVALID")</f>
        <v/>
      </c>
    </row>
    <row r="160">
      <c r="A160" s="4">
        <f>TRIM(Raw_Data!A160)</f>
        <v/>
      </c>
      <c r="B160" s="5">
        <f>Raw_Data!B160</f>
        <v/>
      </c>
      <c r="C160" s="4">
        <f>TRIM(Raw_Data!C160)</f>
        <v/>
      </c>
      <c r="D160" s="4">
        <f>PROPER(TRIM(Raw_Data!D160))</f>
        <v/>
      </c>
      <c r="E160" s="4">
        <f>Raw_Data!E160</f>
        <v/>
      </c>
      <c r="F160" s="6">
        <f>ROUND(Raw_Data!F160,2)</f>
        <v/>
      </c>
      <c r="G160" s="4">
        <f>PROPER(TRIM(Raw_Data!G160))</f>
        <v/>
      </c>
      <c r="H160" s="4">
        <f>PROPER(TRIM(Raw_Data!H160))</f>
        <v/>
      </c>
      <c r="I160" s="4">
        <f>PROPER(TRIM(Raw_Data!I160))</f>
        <v/>
      </c>
      <c r="J160" s="4">
        <f>TRIM(Raw_Data!J160)</f>
        <v/>
      </c>
      <c r="K160" s="4">
        <f>Raw_Data!K160</f>
        <v/>
      </c>
      <c r="L160" s="4">
        <f>IF(TRIM(Raw_Data!L160)="","No Coupon",TRIM(Raw_Data!L160))</f>
        <v/>
      </c>
      <c r="M160" s="4">
        <f>PROPER(TRIM(Raw_Data!M160))</f>
        <v/>
      </c>
      <c r="N160" s="6">
        <f>ROUND(Raw_Data!N160,2)</f>
        <v/>
      </c>
      <c r="O160" s="7">
        <f>IF(COUNTIF($A$2:$A$1201,A160)&gt;1,"DUPLICATE","Unique")</f>
        <v/>
      </c>
      <c r="P160" s="7">
        <f>IF(COUNTIF($J$2:$J$1201,J160)&gt;1,"DUPLICATE","Unique")</f>
        <v/>
      </c>
      <c r="Q160" s="4">
        <f>IF(TRIM(Raw_Data!L160)="","Yes","No")</f>
        <v/>
      </c>
      <c r="R160" s="4">
        <f>IF(ISNUMBER(B160),"Valid","INVALID")</f>
        <v/>
      </c>
    </row>
    <row r="161">
      <c r="A161" s="4">
        <f>TRIM(Raw_Data!A161)</f>
        <v/>
      </c>
      <c r="B161" s="5">
        <f>Raw_Data!B161</f>
        <v/>
      </c>
      <c r="C161" s="4">
        <f>TRIM(Raw_Data!C161)</f>
        <v/>
      </c>
      <c r="D161" s="4">
        <f>PROPER(TRIM(Raw_Data!D161))</f>
        <v/>
      </c>
      <c r="E161" s="4">
        <f>Raw_Data!E161</f>
        <v/>
      </c>
      <c r="F161" s="6">
        <f>ROUND(Raw_Data!F161,2)</f>
        <v/>
      </c>
      <c r="G161" s="4">
        <f>PROPER(TRIM(Raw_Data!G161))</f>
        <v/>
      </c>
      <c r="H161" s="4">
        <f>PROPER(TRIM(Raw_Data!H161))</f>
        <v/>
      </c>
      <c r="I161" s="4">
        <f>PROPER(TRIM(Raw_Data!I161))</f>
        <v/>
      </c>
      <c r="J161" s="4">
        <f>TRIM(Raw_Data!J161)</f>
        <v/>
      </c>
      <c r="K161" s="4">
        <f>Raw_Data!K161</f>
        <v/>
      </c>
      <c r="L161" s="4">
        <f>IF(TRIM(Raw_Data!L161)="","No Coupon",TRIM(Raw_Data!L161))</f>
        <v/>
      </c>
      <c r="M161" s="4">
        <f>PROPER(TRIM(Raw_Data!M161))</f>
        <v/>
      </c>
      <c r="N161" s="6">
        <f>ROUND(Raw_Data!N161,2)</f>
        <v/>
      </c>
      <c r="O161" s="7">
        <f>IF(COUNTIF($A$2:$A$1201,A161)&gt;1,"DUPLICATE","Unique")</f>
        <v/>
      </c>
      <c r="P161" s="7">
        <f>IF(COUNTIF($J$2:$J$1201,J161)&gt;1,"DUPLICATE","Unique")</f>
        <v/>
      </c>
      <c r="Q161" s="4">
        <f>IF(TRIM(Raw_Data!L161)="","Yes","No")</f>
        <v/>
      </c>
      <c r="R161" s="4">
        <f>IF(ISNUMBER(B161),"Valid","INVALID")</f>
        <v/>
      </c>
    </row>
    <row r="162">
      <c r="A162" s="4">
        <f>TRIM(Raw_Data!A162)</f>
        <v/>
      </c>
      <c r="B162" s="5">
        <f>Raw_Data!B162</f>
        <v/>
      </c>
      <c r="C162" s="4">
        <f>TRIM(Raw_Data!C162)</f>
        <v/>
      </c>
      <c r="D162" s="4">
        <f>PROPER(TRIM(Raw_Data!D162))</f>
        <v/>
      </c>
      <c r="E162" s="4">
        <f>Raw_Data!E162</f>
        <v/>
      </c>
      <c r="F162" s="6">
        <f>ROUND(Raw_Data!F162,2)</f>
        <v/>
      </c>
      <c r="G162" s="4">
        <f>PROPER(TRIM(Raw_Data!G162))</f>
        <v/>
      </c>
      <c r="H162" s="4">
        <f>PROPER(TRIM(Raw_Data!H162))</f>
        <v/>
      </c>
      <c r="I162" s="4">
        <f>PROPER(TRIM(Raw_Data!I162))</f>
        <v/>
      </c>
      <c r="J162" s="4">
        <f>TRIM(Raw_Data!J162)</f>
        <v/>
      </c>
      <c r="K162" s="4">
        <f>Raw_Data!K162</f>
        <v/>
      </c>
      <c r="L162" s="4">
        <f>IF(TRIM(Raw_Data!L162)="","No Coupon",TRIM(Raw_Data!L162))</f>
        <v/>
      </c>
      <c r="M162" s="4">
        <f>PROPER(TRIM(Raw_Data!M162))</f>
        <v/>
      </c>
      <c r="N162" s="6">
        <f>ROUND(Raw_Data!N162,2)</f>
        <v/>
      </c>
      <c r="O162" s="7">
        <f>IF(COUNTIF($A$2:$A$1201,A162)&gt;1,"DUPLICATE","Unique")</f>
        <v/>
      </c>
      <c r="P162" s="7">
        <f>IF(COUNTIF($J$2:$J$1201,J162)&gt;1,"DUPLICATE","Unique")</f>
        <v/>
      </c>
      <c r="Q162" s="4">
        <f>IF(TRIM(Raw_Data!L162)="","Yes","No")</f>
        <v/>
      </c>
      <c r="R162" s="4">
        <f>IF(ISNUMBER(B162),"Valid","INVALID")</f>
        <v/>
      </c>
    </row>
    <row r="163">
      <c r="A163" s="4">
        <f>TRIM(Raw_Data!A163)</f>
        <v/>
      </c>
      <c r="B163" s="5">
        <f>Raw_Data!B163</f>
        <v/>
      </c>
      <c r="C163" s="4">
        <f>TRIM(Raw_Data!C163)</f>
        <v/>
      </c>
      <c r="D163" s="4">
        <f>PROPER(TRIM(Raw_Data!D163))</f>
        <v/>
      </c>
      <c r="E163" s="4">
        <f>Raw_Data!E163</f>
        <v/>
      </c>
      <c r="F163" s="6">
        <f>ROUND(Raw_Data!F163,2)</f>
        <v/>
      </c>
      <c r="G163" s="4">
        <f>PROPER(TRIM(Raw_Data!G163))</f>
        <v/>
      </c>
      <c r="H163" s="4">
        <f>PROPER(TRIM(Raw_Data!H163))</f>
        <v/>
      </c>
      <c r="I163" s="4">
        <f>PROPER(TRIM(Raw_Data!I163))</f>
        <v/>
      </c>
      <c r="J163" s="4">
        <f>TRIM(Raw_Data!J163)</f>
        <v/>
      </c>
      <c r="K163" s="4">
        <f>Raw_Data!K163</f>
        <v/>
      </c>
      <c r="L163" s="4">
        <f>IF(TRIM(Raw_Data!L163)="","No Coupon",TRIM(Raw_Data!L163))</f>
        <v/>
      </c>
      <c r="M163" s="4">
        <f>PROPER(TRIM(Raw_Data!M163))</f>
        <v/>
      </c>
      <c r="N163" s="6">
        <f>ROUND(Raw_Data!N163,2)</f>
        <v/>
      </c>
      <c r="O163" s="7">
        <f>IF(COUNTIF($A$2:$A$1201,A163)&gt;1,"DUPLICATE","Unique")</f>
        <v/>
      </c>
      <c r="P163" s="7">
        <f>IF(COUNTIF($J$2:$J$1201,J163)&gt;1,"DUPLICATE","Unique")</f>
        <v/>
      </c>
      <c r="Q163" s="4">
        <f>IF(TRIM(Raw_Data!L163)="","Yes","No")</f>
        <v/>
      </c>
      <c r="R163" s="4">
        <f>IF(ISNUMBER(B163),"Valid","INVALID")</f>
        <v/>
      </c>
    </row>
    <row r="164">
      <c r="A164" s="4">
        <f>TRIM(Raw_Data!A164)</f>
        <v/>
      </c>
      <c r="B164" s="5">
        <f>Raw_Data!B164</f>
        <v/>
      </c>
      <c r="C164" s="4">
        <f>TRIM(Raw_Data!C164)</f>
        <v/>
      </c>
      <c r="D164" s="4">
        <f>PROPER(TRIM(Raw_Data!D164))</f>
        <v/>
      </c>
      <c r="E164" s="4">
        <f>Raw_Data!E164</f>
        <v/>
      </c>
      <c r="F164" s="6">
        <f>ROUND(Raw_Data!F164,2)</f>
        <v/>
      </c>
      <c r="G164" s="4">
        <f>PROPER(TRIM(Raw_Data!G164))</f>
        <v/>
      </c>
      <c r="H164" s="4">
        <f>PROPER(TRIM(Raw_Data!H164))</f>
        <v/>
      </c>
      <c r="I164" s="4">
        <f>PROPER(TRIM(Raw_Data!I164))</f>
        <v/>
      </c>
      <c r="J164" s="4">
        <f>TRIM(Raw_Data!J164)</f>
        <v/>
      </c>
      <c r="K164" s="4">
        <f>Raw_Data!K164</f>
        <v/>
      </c>
      <c r="L164" s="4">
        <f>IF(TRIM(Raw_Data!L164)="","No Coupon",TRIM(Raw_Data!L164))</f>
        <v/>
      </c>
      <c r="M164" s="4">
        <f>PROPER(TRIM(Raw_Data!M164))</f>
        <v/>
      </c>
      <c r="N164" s="6">
        <f>ROUND(Raw_Data!N164,2)</f>
        <v/>
      </c>
      <c r="O164" s="7">
        <f>IF(COUNTIF($A$2:$A$1201,A164)&gt;1,"DUPLICATE","Unique")</f>
        <v/>
      </c>
      <c r="P164" s="7">
        <f>IF(COUNTIF($J$2:$J$1201,J164)&gt;1,"DUPLICATE","Unique")</f>
        <v/>
      </c>
      <c r="Q164" s="4">
        <f>IF(TRIM(Raw_Data!L164)="","Yes","No")</f>
        <v/>
      </c>
      <c r="R164" s="4">
        <f>IF(ISNUMBER(B164),"Valid","INVALID")</f>
        <v/>
      </c>
    </row>
    <row r="165">
      <c r="A165" s="4">
        <f>TRIM(Raw_Data!A165)</f>
        <v/>
      </c>
      <c r="B165" s="5">
        <f>Raw_Data!B165</f>
        <v/>
      </c>
      <c r="C165" s="4">
        <f>TRIM(Raw_Data!C165)</f>
        <v/>
      </c>
      <c r="D165" s="4">
        <f>PROPER(TRIM(Raw_Data!D165))</f>
        <v/>
      </c>
      <c r="E165" s="4">
        <f>Raw_Data!E165</f>
        <v/>
      </c>
      <c r="F165" s="6">
        <f>ROUND(Raw_Data!F165,2)</f>
        <v/>
      </c>
      <c r="G165" s="4">
        <f>PROPER(TRIM(Raw_Data!G165))</f>
        <v/>
      </c>
      <c r="H165" s="4">
        <f>PROPER(TRIM(Raw_Data!H165))</f>
        <v/>
      </c>
      <c r="I165" s="4">
        <f>PROPER(TRIM(Raw_Data!I165))</f>
        <v/>
      </c>
      <c r="J165" s="4">
        <f>TRIM(Raw_Data!J165)</f>
        <v/>
      </c>
      <c r="K165" s="4">
        <f>Raw_Data!K165</f>
        <v/>
      </c>
      <c r="L165" s="4">
        <f>IF(TRIM(Raw_Data!L165)="","No Coupon",TRIM(Raw_Data!L165))</f>
        <v/>
      </c>
      <c r="M165" s="4">
        <f>PROPER(TRIM(Raw_Data!M165))</f>
        <v/>
      </c>
      <c r="N165" s="6">
        <f>ROUND(Raw_Data!N165,2)</f>
        <v/>
      </c>
      <c r="O165" s="7">
        <f>IF(COUNTIF($A$2:$A$1201,A165)&gt;1,"DUPLICATE","Unique")</f>
        <v/>
      </c>
      <c r="P165" s="7">
        <f>IF(COUNTIF($J$2:$J$1201,J165)&gt;1,"DUPLICATE","Unique")</f>
        <v/>
      </c>
      <c r="Q165" s="4">
        <f>IF(TRIM(Raw_Data!L165)="","Yes","No")</f>
        <v/>
      </c>
      <c r="R165" s="4">
        <f>IF(ISNUMBER(B165),"Valid","INVALID")</f>
        <v/>
      </c>
    </row>
    <row r="166">
      <c r="A166" s="4">
        <f>TRIM(Raw_Data!A166)</f>
        <v/>
      </c>
      <c r="B166" s="5">
        <f>Raw_Data!B166</f>
        <v/>
      </c>
      <c r="C166" s="4">
        <f>TRIM(Raw_Data!C166)</f>
        <v/>
      </c>
      <c r="D166" s="4">
        <f>PROPER(TRIM(Raw_Data!D166))</f>
        <v/>
      </c>
      <c r="E166" s="4">
        <f>Raw_Data!E166</f>
        <v/>
      </c>
      <c r="F166" s="6">
        <f>ROUND(Raw_Data!F166,2)</f>
        <v/>
      </c>
      <c r="G166" s="4">
        <f>PROPER(TRIM(Raw_Data!G166))</f>
        <v/>
      </c>
      <c r="H166" s="4">
        <f>PROPER(TRIM(Raw_Data!H166))</f>
        <v/>
      </c>
      <c r="I166" s="4">
        <f>PROPER(TRIM(Raw_Data!I166))</f>
        <v/>
      </c>
      <c r="J166" s="4">
        <f>TRIM(Raw_Data!J166)</f>
        <v/>
      </c>
      <c r="K166" s="4">
        <f>Raw_Data!K166</f>
        <v/>
      </c>
      <c r="L166" s="4">
        <f>IF(TRIM(Raw_Data!L166)="","No Coupon",TRIM(Raw_Data!L166))</f>
        <v/>
      </c>
      <c r="M166" s="4">
        <f>PROPER(TRIM(Raw_Data!M166))</f>
        <v/>
      </c>
      <c r="N166" s="6">
        <f>ROUND(Raw_Data!N166,2)</f>
        <v/>
      </c>
      <c r="O166" s="7">
        <f>IF(COUNTIF($A$2:$A$1201,A166)&gt;1,"DUPLICATE","Unique")</f>
        <v/>
      </c>
      <c r="P166" s="7">
        <f>IF(COUNTIF($J$2:$J$1201,J166)&gt;1,"DUPLICATE","Unique")</f>
        <v/>
      </c>
      <c r="Q166" s="4">
        <f>IF(TRIM(Raw_Data!L166)="","Yes","No")</f>
        <v/>
      </c>
      <c r="R166" s="4">
        <f>IF(ISNUMBER(B166),"Valid","INVALID")</f>
        <v/>
      </c>
    </row>
    <row r="167">
      <c r="A167" s="4">
        <f>TRIM(Raw_Data!A167)</f>
        <v/>
      </c>
      <c r="B167" s="5">
        <f>Raw_Data!B167</f>
        <v/>
      </c>
      <c r="C167" s="4">
        <f>TRIM(Raw_Data!C167)</f>
        <v/>
      </c>
      <c r="D167" s="4">
        <f>PROPER(TRIM(Raw_Data!D167))</f>
        <v/>
      </c>
      <c r="E167" s="4">
        <f>Raw_Data!E167</f>
        <v/>
      </c>
      <c r="F167" s="6">
        <f>ROUND(Raw_Data!F167,2)</f>
        <v/>
      </c>
      <c r="G167" s="4">
        <f>PROPER(TRIM(Raw_Data!G167))</f>
        <v/>
      </c>
      <c r="H167" s="4">
        <f>PROPER(TRIM(Raw_Data!H167))</f>
        <v/>
      </c>
      <c r="I167" s="4">
        <f>PROPER(TRIM(Raw_Data!I167))</f>
        <v/>
      </c>
      <c r="J167" s="4">
        <f>TRIM(Raw_Data!J167)</f>
        <v/>
      </c>
      <c r="K167" s="4">
        <f>Raw_Data!K167</f>
        <v/>
      </c>
      <c r="L167" s="4">
        <f>IF(TRIM(Raw_Data!L167)="","No Coupon",TRIM(Raw_Data!L167))</f>
        <v/>
      </c>
      <c r="M167" s="4">
        <f>PROPER(TRIM(Raw_Data!M167))</f>
        <v/>
      </c>
      <c r="N167" s="6">
        <f>ROUND(Raw_Data!N167,2)</f>
        <v/>
      </c>
      <c r="O167" s="7">
        <f>IF(COUNTIF($A$2:$A$1201,A167)&gt;1,"DUPLICATE","Unique")</f>
        <v/>
      </c>
      <c r="P167" s="7">
        <f>IF(COUNTIF($J$2:$J$1201,J167)&gt;1,"DUPLICATE","Unique")</f>
        <v/>
      </c>
      <c r="Q167" s="4">
        <f>IF(TRIM(Raw_Data!L167)="","Yes","No")</f>
        <v/>
      </c>
      <c r="R167" s="4">
        <f>IF(ISNUMBER(B167),"Valid","INVALID")</f>
        <v/>
      </c>
    </row>
    <row r="168">
      <c r="A168" s="4">
        <f>TRIM(Raw_Data!A168)</f>
        <v/>
      </c>
      <c r="B168" s="5">
        <f>Raw_Data!B168</f>
        <v/>
      </c>
      <c r="C168" s="4">
        <f>TRIM(Raw_Data!C168)</f>
        <v/>
      </c>
      <c r="D168" s="4">
        <f>PROPER(TRIM(Raw_Data!D168))</f>
        <v/>
      </c>
      <c r="E168" s="4">
        <f>Raw_Data!E168</f>
        <v/>
      </c>
      <c r="F168" s="6">
        <f>ROUND(Raw_Data!F168,2)</f>
        <v/>
      </c>
      <c r="G168" s="4">
        <f>PROPER(TRIM(Raw_Data!G168))</f>
        <v/>
      </c>
      <c r="H168" s="4">
        <f>PROPER(TRIM(Raw_Data!H168))</f>
        <v/>
      </c>
      <c r="I168" s="4">
        <f>PROPER(TRIM(Raw_Data!I168))</f>
        <v/>
      </c>
      <c r="J168" s="4">
        <f>TRIM(Raw_Data!J168)</f>
        <v/>
      </c>
      <c r="K168" s="4">
        <f>Raw_Data!K168</f>
        <v/>
      </c>
      <c r="L168" s="4">
        <f>IF(TRIM(Raw_Data!L168)="","No Coupon",TRIM(Raw_Data!L168))</f>
        <v/>
      </c>
      <c r="M168" s="4">
        <f>PROPER(TRIM(Raw_Data!M168))</f>
        <v/>
      </c>
      <c r="N168" s="6">
        <f>ROUND(Raw_Data!N168,2)</f>
        <v/>
      </c>
      <c r="O168" s="7">
        <f>IF(COUNTIF($A$2:$A$1201,A168)&gt;1,"DUPLICATE","Unique")</f>
        <v/>
      </c>
      <c r="P168" s="7">
        <f>IF(COUNTIF($J$2:$J$1201,J168)&gt;1,"DUPLICATE","Unique")</f>
        <v/>
      </c>
      <c r="Q168" s="4">
        <f>IF(TRIM(Raw_Data!L168)="","Yes","No")</f>
        <v/>
      </c>
      <c r="R168" s="4">
        <f>IF(ISNUMBER(B168),"Valid","INVALID")</f>
        <v/>
      </c>
    </row>
    <row r="169">
      <c r="A169" s="4">
        <f>TRIM(Raw_Data!A169)</f>
        <v/>
      </c>
      <c r="B169" s="5">
        <f>Raw_Data!B169</f>
        <v/>
      </c>
      <c r="C169" s="4">
        <f>TRIM(Raw_Data!C169)</f>
        <v/>
      </c>
      <c r="D169" s="4">
        <f>PROPER(TRIM(Raw_Data!D169))</f>
        <v/>
      </c>
      <c r="E169" s="4">
        <f>Raw_Data!E169</f>
        <v/>
      </c>
      <c r="F169" s="6">
        <f>ROUND(Raw_Data!F169,2)</f>
        <v/>
      </c>
      <c r="G169" s="4">
        <f>PROPER(TRIM(Raw_Data!G169))</f>
        <v/>
      </c>
      <c r="H169" s="4">
        <f>PROPER(TRIM(Raw_Data!H169))</f>
        <v/>
      </c>
      <c r="I169" s="4">
        <f>PROPER(TRIM(Raw_Data!I169))</f>
        <v/>
      </c>
      <c r="J169" s="4">
        <f>TRIM(Raw_Data!J169)</f>
        <v/>
      </c>
      <c r="K169" s="4">
        <f>Raw_Data!K169</f>
        <v/>
      </c>
      <c r="L169" s="4">
        <f>IF(TRIM(Raw_Data!L169)="","No Coupon",TRIM(Raw_Data!L169))</f>
        <v/>
      </c>
      <c r="M169" s="4">
        <f>PROPER(TRIM(Raw_Data!M169))</f>
        <v/>
      </c>
      <c r="N169" s="6">
        <f>ROUND(Raw_Data!N169,2)</f>
        <v/>
      </c>
      <c r="O169" s="7">
        <f>IF(COUNTIF($A$2:$A$1201,A169)&gt;1,"DUPLICATE","Unique")</f>
        <v/>
      </c>
      <c r="P169" s="7">
        <f>IF(COUNTIF($J$2:$J$1201,J169)&gt;1,"DUPLICATE","Unique")</f>
        <v/>
      </c>
      <c r="Q169" s="4">
        <f>IF(TRIM(Raw_Data!L169)="","Yes","No")</f>
        <v/>
      </c>
      <c r="R169" s="4">
        <f>IF(ISNUMBER(B169),"Valid","INVALID")</f>
        <v/>
      </c>
    </row>
    <row r="170">
      <c r="A170" s="4">
        <f>TRIM(Raw_Data!A170)</f>
        <v/>
      </c>
      <c r="B170" s="5">
        <f>Raw_Data!B170</f>
        <v/>
      </c>
      <c r="C170" s="4">
        <f>TRIM(Raw_Data!C170)</f>
        <v/>
      </c>
      <c r="D170" s="4">
        <f>PROPER(TRIM(Raw_Data!D170))</f>
        <v/>
      </c>
      <c r="E170" s="4">
        <f>Raw_Data!E170</f>
        <v/>
      </c>
      <c r="F170" s="6">
        <f>ROUND(Raw_Data!F170,2)</f>
        <v/>
      </c>
      <c r="G170" s="4">
        <f>PROPER(TRIM(Raw_Data!G170))</f>
        <v/>
      </c>
      <c r="H170" s="4">
        <f>PROPER(TRIM(Raw_Data!H170))</f>
        <v/>
      </c>
      <c r="I170" s="4">
        <f>PROPER(TRIM(Raw_Data!I170))</f>
        <v/>
      </c>
      <c r="J170" s="4">
        <f>TRIM(Raw_Data!J170)</f>
        <v/>
      </c>
      <c r="K170" s="4">
        <f>Raw_Data!K170</f>
        <v/>
      </c>
      <c r="L170" s="4">
        <f>IF(TRIM(Raw_Data!L170)="","No Coupon",TRIM(Raw_Data!L170))</f>
        <v/>
      </c>
      <c r="M170" s="4">
        <f>PROPER(TRIM(Raw_Data!M170))</f>
        <v/>
      </c>
      <c r="N170" s="6">
        <f>ROUND(Raw_Data!N170,2)</f>
        <v/>
      </c>
      <c r="O170" s="7">
        <f>IF(COUNTIF($A$2:$A$1201,A170)&gt;1,"DUPLICATE","Unique")</f>
        <v/>
      </c>
      <c r="P170" s="7">
        <f>IF(COUNTIF($J$2:$J$1201,J170)&gt;1,"DUPLICATE","Unique")</f>
        <v/>
      </c>
      <c r="Q170" s="4">
        <f>IF(TRIM(Raw_Data!L170)="","Yes","No")</f>
        <v/>
      </c>
      <c r="R170" s="4">
        <f>IF(ISNUMBER(B170),"Valid","INVALID")</f>
        <v/>
      </c>
    </row>
    <row r="171">
      <c r="A171" s="4">
        <f>TRIM(Raw_Data!A171)</f>
        <v/>
      </c>
      <c r="B171" s="5">
        <f>Raw_Data!B171</f>
        <v/>
      </c>
      <c r="C171" s="4">
        <f>TRIM(Raw_Data!C171)</f>
        <v/>
      </c>
      <c r="D171" s="4">
        <f>PROPER(TRIM(Raw_Data!D171))</f>
        <v/>
      </c>
      <c r="E171" s="4">
        <f>Raw_Data!E171</f>
        <v/>
      </c>
      <c r="F171" s="6">
        <f>ROUND(Raw_Data!F171,2)</f>
        <v/>
      </c>
      <c r="G171" s="4">
        <f>PROPER(TRIM(Raw_Data!G171))</f>
        <v/>
      </c>
      <c r="H171" s="4">
        <f>PROPER(TRIM(Raw_Data!H171))</f>
        <v/>
      </c>
      <c r="I171" s="4">
        <f>PROPER(TRIM(Raw_Data!I171))</f>
        <v/>
      </c>
      <c r="J171" s="4">
        <f>TRIM(Raw_Data!J171)</f>
        <v/>
      </c>
      <c r="K171" s="4">
        <f>Raw_Data!K171</f>
        <v/>
      </c>
      <c r="L171" s="4">
        <f>IF(TRIM(Raw_Data!L171)="","No Coupon",TRIM(Raw_Data!L171))</f>
        <v/>
      </c>
      <c r="M171" s="4">
        <f>PROPER(TRIM(Raw_Data!M171))</f>
        <v/>
      </c>
      <c r="N171" s="6">
        <f>ROUND(Raw_Data!N171,2)</f>
        <v/>
      </c>
      <c r="O171" s="7">
        <f>IF(COUNTIF($A$2:$A$1201,A171)&gt;1,"DUPLICATE","Unique")</f>
        <v/>
      </c>
      <c r="P171" s="7">
        <f>IF(COUNTIF($J$2:$J$1201,J171)&gt;1,"DUPLICATE","Unique")</f>
        <v/>
      </c>
      <c r="Q171" s="4">
        <f>IF(TRIM(Raw_Data!L171)="","Yes","No")</f>
        <v/>
      </c>
      <c r="R171" s="4">
        <f>IF(ISNUMBER(B171),"Valid","INVALID")</f>
        <v/>
      </c>
    </row>
    <row r="172">
      <c r="A172" s="4">
        <f>TRIM(Raw_Data!A172)</f>
        <v/>
      </c>
      <c r="B172" s="5">
        <f>Raw_Data!B172</f>
        <v/>
      </c>
      <c r="C172" s="4">
        <f>TRIM(Raw_Data!C172)</f>
        <v/>
      </c>
      <c r="D172" s="4">
        <f>PROPER(TRIM(Raw_Data!D172))</f>
        <v/>
      </c>
      <c r="E172" s="4">
        <f>Raw_Data!E172</f>
        <v/>
      </c>
      <c r="F172" s="6">
        <f>ROUND(Raw_Data!F172,2)</f>
        <v/>
      </c>
      <c r="G172" s="4">
        <f>PROPER(TRIM(Raw_Data!G172))</f>
        <v/>
      </c>
      <c r="H172" s="4">
        <f>PROPER(TRIM(Raw_Data!H172))</f>
        <v/>
      </c>
      <c r="I172" s="4">
        <f>PROPER(TRIM(Raw_Data!I172))</f>
        <v/>
      </c>
      <c r="J172" s="4">
        <f>TRIM(Raw_Data!J172)</f>
        <v/>
      </c>
      <c r="K172" s="4">
        <f>Raw_Data!K172</f>
        <v/>
      </c>
      <c r="L172" s="4">
        <f>IF(TRIM(Raw_Data!L172)="","No Coupon",TRIM(Raw_Data!L172))</f>
        <v/>
      </c>
      <c r="M172" s="4">
        <f>PROPER(TRIM(Raw_Data!M172))</f>
        <v/>
      </c>
      <c r="N172" s="6">
        <f>ROUND(Raw_Data!N172,2)</f>
        <v/>
      </c>
      <c r="O172" s="7">
        <f>IF(COUNTIF($A$2:$A$1201,A172)&gt;1,"DUPLICATE","Unique")</f>
        <v/>
      </c>
      <c r="P172" s="7">
        <f>IF(COUNTIF($J$2:$J$1201,J172)&gt;1,"DUPLICATE","Unique")</f>
        <v/>
      </c>
      <c r="Q172" s="4">
        <f>IF(TRIM(Raw_Data!L172)="","Yes","No")</f>
        <v/>
      </c>
      <c r="R172" s="4">
        <f>IF(ISNUMBER(B172),"Valid","INVALID")</f>
        <v/>
      </c>
    </row>
    <row r="173">
      <c r="A173" s="4">
        <f>TRIM(Raw_Data!A173)</f>
        <v/>
      </c>
      <c r="B173" s="5">
        <f>Raw_Data!B173</f>
        <v/>
      </c>
      <c r="C173" s="4">
        <f>TRIM(Raw_Data!C173)</f>
        <v/>
      </c>
      <c r="D173" s="4">
        <f>PROPER(TRIM(Raw_Data!D173))</f>
        <v/>
      </c>
      <c r="E173" s="4">
        <f>Raw_Data!E173</f>
        <v/>
      </c>
      <c r="F173" s="6">
        <f>ROUND(Raw_Data!F173,2)</f>
        <v/>
      </c>
      <c r="G173" s="4">
        <f>PROPER(TRIM(Raw_Data!G173))</f>
        <v/>
      </c>
      <c r="H173" s="4">
        <f>PROPER(TRIM(Raw_Data!H173))</f>
        <v/>
      </c>
      <c r="I173" s="4">
        <f>PROPER(TRIM(Raw_Data!I173))</f>
        <v/>
      </c>
      <c r="J173" s="4">
        <f>TRIM(Raw_Data!J173)</f>
        <v/>
      </c>
      <c r="K173" s="4">
        <f>Raw_Data!K173</f>
        <v/>
      </c>
      <c r="L173" s="4">
        <f>IF(TRIM(Raw_Data!L173)="","No Coupon",TRIM(Raw_Data!L173))</f>
        <v/>
      </c>
      <c r="M173" s="4">
        <f>PROPER(TRIM(Raw_Data!M173))</f>
        <v/>
      </c>
      <c r="N173" s="6">
        <f>ROUND(Raw_Data!N173,2)</f>
        <v/>
      </c>
      <c r="O173" s="7">
        <f>IF(COUNTIF($A$2:$A$1201,A173)&gt;1,"DUPLICATE","Unique")</f>
        <v/>
      </c>
      <c r="P173" s="7">
        <f>IF(COUNTIF($J$2:$J$1201,J173)&gt;1,"DUPLICATE","Unique")</f>
        <v/>
      </c>
      <c r="Q173" s="4">
        <f>IF(TRIM(Raw_Data!L173)="","Yes","No")</f>
        <v/>
      </c>
      <c r="R173" s="4">
        <f>IF(ISNUMBER(B173),"Valid","INVALID")</f>
        <v/>
      </c>
    </row>
    <row r="174">
      <c r="A174" s="4">
        <f>TRIM(Raw_Data!A174)</f>
        <v/>
      </c>
      <c r="B174" s="5">
        <f>Raw_Data!B174</f>
        <v/>
      </c>
      <c r="C174" s="4">
        <f>TRIM(Raw_Data!C174)</f>
        <v/>
      </c>
      <c r="D174" s="4">
        <f>PROPER(TRIM(Raw_Data!D174))</f>
        <v/>
      </c>
      <c r="E174" s="4">
        <f>Raw_Data!E174</f>
        <v/>
      </c>
      <c r="F174" s="6">
        <f>ROUND(Raw_Data!F174,2)</f>
        <v/>
      </c>
      <c r="G174" s="4">
        <f>PROPER(TRIM(Raw_Data!G174))</f>
        <v/>
      </c>
      <c r="H174" s="4">
        <f>PROPER(TRIM(Raw_Data!H174))</f>
        <v/>
      </c>
      <c r="I174" s="4">
        <f>PROPER(TRIM(Raw_Data!I174))</f>
        <v/>
      </c>
      <c r="J174" s="4">
        <f>TRIM(Raw_Data!J174)</f>
        <v/>
      </c>
      <c r="K174" s="4">
        <f>Raw_Data!K174</f>
        <v/>
      </c>
      <c r="L174" s="4">
        <f>IF(TRIM(Raw_Data!L174)="","No Coupon",TRIM(Raw_Data!L174))</f>
        <v/>
      </c>
      <c r="M174" s="4">
        <f>PROPER(TRIM(Raw_Data!M174))</f>
        <v/>
      </c>
      <c r="N174" s="6">
        <f>ROUND(Raw_Data!N174,2)</f>
        <v/>
      </c>
      <c r="O174" s="7">
        <f>IF(COUNTIF($A$2:$A$1201,A174)&gt;1,"DUPLICATE","Unique")</f>
        <v/>
      </c>
      <c r="P174" s="7">
        <f>IF(COUNTIF($J$2:$J$1201,J174)&gt;1,"DUPLICATE","Unique")</f>
        <v/>
      </c>
      <c r="Q174" s="4">
        <f>IF(TRIM(Raw_Data!L174)="","Yes","No")</f>
        <v/>
      </c>
      <c r="R174" s="4">
        <f>IF(ISNUMBER(B174),"Valid","INVALID")</f>
        <v/>
      </c>
    </row>
    <row r="175">
      <c r="A175" s="4">
        <f>TRIM(Raw_Data!A175)</f>
        <v/>
      </c>
      <c r="B175" s="5">
        <f>Raw_Data!B175</f>
        <v/>
      </c>
      <c r="C175" s="4">
        <f>TRIM(Raw_Data!C175)</f>
        <v/>
      </c>
      <c r="D175" s="4">
        <f>PROPER(TRIM(Raw_Data!D175))</f>
        <v/>
      </c>
      <c r="E175" s="4">
        <f>Raw_Data!E175</f>
        <v/>
      </c>
      <c r="F175" s="6">
        <f>ROUND(Raw_Data!F175,2)</f>
        <v/>
      </c>
      <c r="G175" s="4">
        <f>PROPER(TRIM(Raw_Data!G175))</f>
        <v/>
      </c>
      <c r="H175" s="4">
        <f>PROPER(TRIM(Raw_Data!H175))</f>
        <v/>
      </c>
      <c r="I175" s="4">
        <f>PROPER(TRIM(Raw_Data!I175))</f>
        <v/>
      </c>
      <c r="J175" s="4">
        <f>TRIM(Raw_Data!J175)</f>
        <v/>
      </c>
      <c r="K175" s="4">
        <f>Raw_Data!K175</f>
        <v/>
      </c>
      <c r="L175" s="4">
        <f>IF(TRIM(Raw_Data!L175)="","No Coupon",TRIM(Raw_Data!L175))</f>
        <v/>
      </c>
      <c r="M175" s="4">
        <f>PROPER(TRIM(Raw_Data!M175))</f>
        <v/>
      </c>
      <c r="N175" s="6">
        <f>ROUND(Raw_Data!N175,2)</f>
        <v/>
      </c>
      <c r="O175" s="7">
        <f>IF(COUNTIF($A$2:$A$1201,A175)&gt;1,"DUPLICATE","Unique")</f>
        <v/>
      </c>
      <c r="P175" s="7">
        <f>IF(COUNTIF($J$2:$J$1201,J175)&gt;1,"DUPLICATE","Unique")</f>
        <v/>
      </c>
      <c r="Q175" s="4">
        <f>IF(TRIM(Raw_Data!L175)="","Yes","No")</f>
        <v/>
      </c>
      <c r="R175" s="4">
        <f>IF(ISNUMBER(B175),"Valid","INVALID")</f>
        <v/>
      </c>
    </row>
    <row r="176">
      <c r="A176" s="4">
        <f>TRIM(Raw_Data!A176)</f>
        <v/>
      </c>
      <c r="B176" s="5">
        <f>Raw_Data!B176</f>
        <v/>
      </c>
      <c r="C176" s="4">
        <f>TRIM(Raw_Data!C176)</f>
        <v/>
      </c>
      <c r="D176" s="4">
        <f>PROPER(TRIM(Raw_Data!D176))</f>
        <v/>
      </c>
      <c r="E176" s="4">
        <f>Raw_Data!E176</f>
        <v/>
      </c>
      <c r="F176" s="6">
        <f>ROUND(Raw_Data!F176,2)</f>
        <v/>
      </c>
      <c r="G176" s="4">
        <f>PROPER(TRIM(Raw_Data!G176))</f>
        <v/>
      </c>
      <c r="H176" s="4">
        <f>PROPER(TRIM(Raw_Data!H176))</f>
        <v/>
      </c>
      <c r="I176" s="4">
        <f>PROPER(TRIM(Raw_Data!I176))</f>
        <v/>
      </c>
      <c r="J176" s="4">
        <f>TRIM(Raw_Data!J176)</f>
        <v/>
      </c>
      <c r="K176" s="4">
        <f>Raw_Data!K176</f>
        <v/>
      </c>
      <c r="L176" s="4">
        <f>IF(TRIM(Raw_Data!L176)="","No Coupon",TRIM(Raw_Data!L176))</f>
        <v/>
      </c>
      <c r="M176" s="4">
        <f>PROPER(TRIM(Raw_Data!M176))</f>
        <v/>
      </c>
      <c r="N176" s="6">
        <f>ROUND(Raw_Data!N176,2)</f>
        <v/>
      </c>
      <c r="O176" s="7">
        <f>IF(COUNTIF($A$2:$A$1201,A176)&gt;1,"DUPLICATE","Unique")</f>
        <v/>
      </c>
      <c r="P176" s="7">
        <f>IF(COUNTIF($J$2:$J$1201,J176)&gt;1,"DUPLICATE","Unique")</f>
        <v/>
      </c>
      <c r="Q176" s="4">
        <f>IF(TRIM(Raw_Data!L176)="","Yes","No")</f>
        <v/>
      </c>
      <c r="R176" s="4">
        <f>IF(ISNUMBER(B176),"Valid","INVALID")</f>
        <v/>
      </c>
    </row>
    <row r="177">
      <c r="A177" s="4">
        <f>TRIM(Raw_Data!A177)</f>
        <v/>
      </c>
      <c r="B177" s="5">
        <f>Raw_Data!B177</f>
        <v/>
      </c>
      <c r="C177" s="4">
        <f>TRIM(Raw_Data!C177)</f>
        <v/>
      </c>
      <c r="D177" s="4">
        <f>PROPER(TRIM(Raw_Data!D177))</f>
        <v/>
      </c>
      <c r="E177" s="4">
        <f>Raw_Data!E177</f>
        <v/>
      </c>
      <c r="F177" s="6">
        <f>ROUND(Raw_Data!F177,2)</f>
        <v/>
      </c>
      <c r="G177" s="4">
        <f>PROPER(TRIM(Raw_Data!G177))</f>
        <v/>
      </c>
      <c r="H177" s="4">
        <f>PROPER(TRIM(Raw_Data!H177))</f>
        <v/>
      </c>
      <c r="I177" s="4">
        <f>PROPER(TRIM(Raw_Data!I177))</f>
        <v/>
      </c>
      <c r="J177" s="4">
        <f>TRIM(Raw_Data!J177)</f>
        <v/>
      </c>
      <c r="K177" s="4">
        <f>Raw_Data!K177</f>
        <v/>
      </c>
      <c r="L177" s="4">
        <f>IF(TRIM(Raw_Data!L177)="","No Coupon",TRIM(Raw_Data!L177))</f>
        <v/>
      </c>
      <c r="M177" s="4">
        <f>PROPER(TRIM(Raw_Data!M177))</f>
        <v/>
      </c>
      <c r="N177" s="6">
        <f>ROUND(Raw_Data!N177,2)</f>
        <v/>
      </c>
      <c r="O177" s="7">
        <f>IF(COUNTIF($A$2:$A$1201,A177)&gt;1,"DUPLICATE","Unique")</f>
        <v/>
      </c>
      <c r="P177" s="7">
        <f>IF(COUNTIF($J$2:$J$1201,J177)&gt;1,"DUPLICATE","Unique")</f>
        <v/>
      </c>
      <c r="Q177" s="4">
        <f>IF(TRIM(Raw_Data!L177)="","Yes","No")</f>
        <v/>
      </c>
      <c r="R177" s="4">
        <f>IF(ISNUMBER(B177),"Valid","INVALID")</f>
        <v/>
      </c>
    </row>
    <row r="178">
      <c r="A178" s="4">
        <f>TRIM(Raw_Data!A178)</f>
        <v/>
      </c>
      <c r="B178" s="5">
        <f>Raw_Data!B178</f>
        <v/>
      </c>
      <c r="C178" s="4">
        <f>TRIM(Raw_Data!C178)</f>
        <v/>
      </c>
      <c r="D178" s="4">
        <f>PROPER(TRIM(Raw_Data!D178))</f>
        <v/>
      </c>
      <c r="E178" s="4">
        <f>Raw_Data!E178</f>
        <v/>
      </c>
      <c r="F178" s="6">
        <f>ROUND(Raw_Data!F178,2)</f>
        <v/>
      </c>
      <c r="G178" s="4">
        <f>PROPER(TRIM(Raw_Data!G178))</f>
        <v/>
      </c>
      <c r="H178" s="4">
        <f>PROPER(TRIM(Raw_Data!H178))</f>
        <v/>
      </c>
      <c r="I178" s="4">
        <f>PROPER(TRIM(Raw_Data!I178))</f>
        <v/>
      </c>
      <c r="J178" s="4">
        <f>TRIM(Raw_Data!J178)</f>
        <v/>
      </c>
      <c r="K178" s="4">
        <f>Raw_Data!K178</f>
        <v/>
      </c>
      <c r="L178" s="4">
        <f>IF(TRIM(Raw_Data!L178)="","No Coupon",TRIM(Raw_Data!L178))</f>
        <v/>
      </c>
      <c r="M178" s="4">
        <f>PROPER(TRIM(Raw_Data!M178))</f>
        <v/>
      </c>
      <c r="N178" s="6">
        <f>ROUND(Raw_Data!N178,2)</f>
        <v/>
      </c>
      <c r="O178" s="7">
        <f>IF(COUNTIF($A$2:$A$1201,A178)&gt;1,"DUPLICATE","Unique")</f>
        <v/>
      </c>
      <c r="P178" s="7">
        <f>IF(COUNTIF($J$2:$J$1201,J178)&gt;1,"DUPLICATE","Unique")</f>
        <v/>
      </c>
      <c r="Q178" s="4">
        <f>IF(TRIM(Raw_Data!L178)="","Yes","No")</f>
        <v/>
      </c>
      <c r="R178" s="4">
        <f>IF(ISNUMBER(B178),"Valid","INVALID")</f>
        <v/>
      </c>
    </row>
    <row r="179">
      <c r="A179" s="4">
        <f>TRIM(Raw_Data!A179)</f>
        <v/>
      </c>
      <c r="B179" s="5">
        <f>Raw_Data!B179</f>
        <v/>
      </c>
      <c r="C179" s="4">
        <f>TRIM(Raw_Data!C179)</f>
        <v/>
      </c>
      <c r="D179" s="4">
        <f>PROPER(TRIM(Raw_Data!D179))</f>
        <v/>
      </c>
      <c r="E179" s="4">
        <f>Raw_Data!E179</f>
        <v/>
      </c>
      <c r="F179" s="6">
        <f>ROUND(Raw_Data!F179,2)</f>
        <v/>
      </c>
      <c r="G179" s="4">
        <f>PROPER(TRIM(Raw_Data!G179))</f>
        <v/>
      </c>
      <c r="H179" s="4">
        <f>PROPER(TRIM(Raw_Data!H179))</f>
        <v/>
      </c>
      <c r="I179" s="4">
        <f>PROPER(TRIM(Raw_Data!I179))</f>
        <v/>
      </c>
      <c r="J179" s="4">
        <f>TRIM(Raw_Data!J179)</f>
        <v/>
      </c>
      <c r="K179" s="4">
        <f>Raw_Data!K179</f>
        <v/>
      </c>
      <c r="L179" s="4">
        <f>IF(TRIM(Raw_Data!L179)="","No Coupon",TRIM(Raw_Data!L179))</f>
        <v/>
      </c>
      <c r="M179" s="4">
        <f>PROPER(TRIM(Raw_Data!M179))</f>
        <v/>
      </c>
      <c r="N179" s="6">
        <f>ROUND(Raw_Data!N179,2)</f>
        <v/>
      </c>
      <c r="O179" s="7">
        <f>IF(COUNTIF($A$2:$A$1201,A179)&gt;1,"DUPLICATE","Unique")</f>
        <v/>
      </c>
      <c r="P179" s="7">
        <f>IF(COUNTIF($J$2:$J$1201,J179)&gt;1,"DUPLICATE","Unique")</f>
        <v/>
      </c>
      <c r="Q179" s="4">
        <f>IF(TRIM(Raw_Data!L179)="","Yes","No")</f>
        <v/>
      </c>
      <c r="R179" s="4">
        <f>IF(ISNUMBER(B179),"Valid","INVALID")</f>
        <v/>
      </c>
    </row>
    <row r="180">
      <c r="A180" s="4">
        <f>TRIM(Raw_Data!A180)</f>
        <v/>
      </c>
      <c r="B180" s="5">
        <f>Raw_Data!B180</f>
        <v/>
      </c>
      <c r="C180" s="4">
        <f>TRIM(Raw_Data!C180)</f>
        <v/>
      </c>
      <c r="D180" s="4">
        <f>PROPER(TRIM(Raw_Data!D180))</f>
        <v/>
      </c>
      <c r="E180" s="4">
        <f>Raw_Data!E180</f>
        <v/>
      </c>
      <c r="F180" s="6">
        <f>ROUND(Raw_Data!F180,2)</f>
        <v/>
      </c>
      <c r="G180" s="4">
        <f>PROPER(TRIM(Raw_Data!G180))</f>
        <v/>
      </c>
      <c r="H180" s="4">
        <f>PROPER(TRIM(Raw_Data!H180))</f>
        <v/>
      </c>
      <c r="I180" s="4">
        <f>PROPER(TRIM(Raw_Data!I180))</f>
        <v/>
      </c>
      <c r="J180" s="4">
        <f>TRIM(Raw_Data!J180)</f>
        <v/>
      </c>
      <c r="K180" s="4">
        <f>Raw_Data!K180</f>
        <v/>
      </c>
      <c r="L180" s="4">
        <f>IF(TRIM(Raw_Data!L180)="","No Coupon",TRIM(Raw_Data!L180))</f>
        <v/>
      </c>
      <c r="M180" s="4">
        <f>PROPER(TRIM(Raw_Data!M180))</f>
        <v/>
      </c>
      <c r="N180" s="6">
        <f>ROUND(Raw_Data!N180,2)</f>
        <v/>
      </c>
      <c r="O180" s="7">
        <f>IF(COUNTIF($A$2:$A$1201,A180)&gt;1,"DUPLICATE","Unique")</f>
        <v/>
      </c>
      <c r="P180" s="7">
        <f>IF(COUNTIF($J$2:$J$1201,J180)&gt;1,"DUPLICATE","Unique")</f>
        <v/>
      </c>
      <c r="Q180" s="4">
        <f>IF(TRIM(Raw_Data!L180)="","Yes","No")</f>
        <v/>
      </c>
      <c r="R180" s="4">
        <f>IF(ISNUMBER(B180),"Valid","INVALID")</f>
        <v/>
      </c>
    </row>
    <row r="181">
      <c r="A181" s="4">
        <f>TRIM(Raw_Data!A181)</f>
        <v/>
      </c>
      <c r="B181" s="5">
        <f>Raw_Data!B181</f>
        <v/>
      </c>
      <c r="C181" s="4">
        <f>TRIM(Raw_Data!C181)</f>
        <v/>
      </c>
      <c r="D181" s="4">
        <f>PROPER(TRIM(Raw_Data!D181))</f>
        <v/>
      </c>
      <c r="E181" s="4">
        <f>Raw_Data!E181</f>
        <v/>
      </c>
      <c r="F181" s="6">
        <f>ROUND(Raw_Data!F181,2)</f>
        <v/>
      </c>
      <c r="G181" s="4">
        <f>PROPER(TRIM(Raw_Data!G181))</f>
        <v/>
      </c>
      <c r="H181" s="4">
        <f>PROPER(TRIM(Raw_Data!H181))</f>
        <v/>
      </c>
      <c r="I181" s="4">
        <f>PROPER(TRIM(Raw_Data!I181))</f>
        <v/>
      </c>
      <c r="J181" s="4">
        <f>TRIM(Raw_Data!J181)</f>
        <v/>
      </c>
      <c r="K181" s="4">
        <f>Raw_Data!K181</f>
        <v/>
      </c>
      <c r="L181" s="4">
        <f>IF(TRIM(Raw_Data!L181)="","No Coupon",TRIM(Raw_Data!L181))</f>
        <v/>
      </c>
      <c r="M181" s="4">
        <f>PROPER(TRIM(Raw_Data!M181))</f>
        <v/>
      </c>
      <c r="N181" s="6">
        <f>ROUND(Raw_Data!N181,2)</f>
        <v/>
      </c>
      <c r="O181" s="7">
        <f>IF(COUNTIF($A$2:$A$1201,A181)&gt;1,"DUPLICATE","Unique")</f>
        <v/>
      </c>
      <c r="P181" s="7">
        <f>IF(COUNTIF($J$2:$J$1201,J181)&gt;1,"DUPLICATE","Unique")</f>
        <v/>
      </c>
      <c r="Q181" s="4">
        <f>IF(TRIM(Raw_Data!L181)="","Yes","No")</f>
        <v/>
      </c>
      <c r="R181" s="4">
        <f>IF(ISNUMBER(B181),"Valid","INVALID")</f>
        <v/>
      </c>
    </row>
    <row r="182">
      <c r="A182" s="4">
        <f>TRIM(Raw_Data!A182)</f>
        <v/>
      </c>
      <c r="B182" s="5">
        <f>Raw_Data!B182</f>
        <v/>
      </c>
      <c r="C182" s="4">
        <f>TRIM(Raw_Data!C182)</f>
        <v/>
      </c>
      <c r="D182" s="4">
        <f>PROPER(TRIM(Raw_Data!D182))</f>
        <v/>
      </c>
      <c r="E182" s="4">
        <f>Raw_Data!E182</f>
        <v/>
      </c>
      <c r="F182" s="6">
        <f>ROUND(Raw_Data!F182,2)</f>
        <v/>
      </c>
      <c r="G182" s="4">
        <f>PROPER(TRIM(Raw_Data!G182))</f>
        <v/>
      </c>
      <c r="H182" s="4">
        <f>PROPER(TRIM(Raw_Data!H182))</f>
        <v/>
      </c>
      <c r="I182" s="4">
        <f>PROPER(TRIM(Raw_Data!I182))</f>
        <v/>
      </c>
      <c r="J182" s="4">
        <f>TRIM(Raw_Data!J182)</f>
        <v/>
      </c>
      <c r="K182" s="4">
        <f>Raw_Data!K182</f>
        <v/>
      </c>
      <c r="L182" s="4">
        <f>IF(TRIM(Raw_Data!L182)="","No Coupon",TRIM(Raw_Data!L182))</f>
        <v/>
      </c>
      <c r="M182" s="4">
        <f>PROPER(TRIM(Raw_Data!M182))</f>
        <v/>
      </c>
      <c r="N182" s="6">
        <f>ROUND(Raw_Data!N182,2)</f>
        <v/>
      </c>
      <c r="O182" s="7">
        <f>IF(COUNTIF($A$2:$A$1201,A182)&gt;1,"DUPLICATE","Unique")</f>
        <v/>
      </c>
      <c r="P182" s="7">
        <f>IF(COUNTIF($J$2:$J$1201,J182)&gt;1,"DUPLICATE","Unique")</f>
        <v/>
      </c>
      <c r="Q182" s="4">
        <f>IF(TRIM(Raw_Data!L182)="","Yes","No")</f>
        <v/>
      </c>
      <c r="R182" s="4">
        <f>IF(ISNUMBER(B182),"Valid","INVALID")</f>
        <v/>
      </c>
    </row>
    <row r="183">
      <c r="A183" s="4">
        <f>TRIM(Raw_Data!A183)</f>
        <v/>
      </c>
      <c r="B183" s="5">
        <f>Raw_Data!B183</f>
        <v/>
      </c>
      <c r="C183" s="4">
        <f>TRIM(Raw_Data!C183)</f>
        <v/>
      </c>
      <c r="D183" s="4">
        <f>PROPER(TRIM(Raw_Data!D183))</f>
        <v/>
      </c>
      <c r="E183" s="4">
        <f>Raw_Data!E183</f>
        <v/>
      </c>
      <c r="F183" s="6">
        <f>ROUND(Raw_Data!F183,2)</f>
        <v/>
      </c>
      <c r="G183" s="4">
        <f>PROPER(TRIM(Raw_Data!G183))</f>
        <v/>
      </c>
      <c r="H183" s="4">
        <f>PROPER(TRIM(Raw_Data!H183))</f>
        <v/>
      </c>
      <c r="I183" s="4">
        <f>PROPER(TRIM(Raw_Data!I183))</f>
        <v/>
      </c>
      <c r="J183" s="4">
        <f>TRIM(Raw_Data!J183)</f>
        <v/>
      </c>
      <c r="K183" s="4">
        <f>Raw_Data!K183</f>
        <v/>
      </c>
      <c r="L183" s="4">
        <f>IF(TRIM(Raw_Data!L183)="","No Coupon",TRIM(Raw_Data!L183))</f>
        <v/>
      </c>
      <c r="M183" s="4">
        <f>PROPER(TRIM(Raw_Data!M183))</f>
        <v/>
      </c>
      <c r="N183" s="6">
        <f>ROUND(Raw_Data!N183,2)</f>
        <v/>
      </c>
      <c r="O183" s="7">
        <f>IF(COUNTIF($A$2:$A$1201,A183)&gt;1,"DUPLICATE","Unique")</f>
        <v/>
      </c>
      <c r="P183" s="7">
        <f>IF(COUNTIF($J$2:$J$1201,J183)&gt;1,"DUPLICATE","Unique")</f>
        <v/>
      </c>
      <c r="Q183" s="4">
        <f>IF(TRIM(Raw_Data!L183)="","Yes","No")</f>
        <v/>
      </c>
      <c r="R183" s="4">
        <f>IF(ISNUMBER(B183),"Valid","INVALID")</f>
        <v/>
      </c>
    </row>
    <row r="184">
      <c r="A184" s="4">
        <f>TRIM(Raw_Data!A184)</f>
        <v/>
      </c>
      <c r="B184" s="5">
        <f>Raw_Data!B184</f>
        <v/>
      </c>
      <c r="C184" s="4">
        <f>TRIM(Raw_Data!C184)</f>
        <v/>
      </c>
      <c r="D184" s="4">
        <f>PROPER(TRIM(Raw_Data!D184))</f>
        <v/>
      </c>
      <c r="E184" s="4">
        <f>Raw_Data!E184</f>
        <v/>
      </c>
      <c r="F184" s="6">
        <f>ROUND(Raw_Data!F184,2)</f>
        <v/>
      </c>
      <c r="G184" s="4">
        <f>PROPER(TRIM(Raw_Data!G184))</f>
        <v/>
      </c>
      <c r="H184" s="4">
        <f>PROPER(TRIM(Raw_Data!H184))</f>
        <v/>
      </c>
      <c r="I184" s="4">
        <f>PROPER(TRIM(Raw_Data!I184))</f>
        <v/>
      </c>
      <c r="J184" s="4">
        <f>TRIM(Raw_Data!J184)</f>
        <v/>
      </c>
      <c r="K184" s="4">
        <f>Raw_Data!K184</f>
        <v/>
      </c>
      <c r="L184" s="4">
        <f>IF(TRIM(Raw_Data!L184)="","No Coupon",TRIM(Raw_Data!L184))</f>
        <v/>
      </c>
      <c r="M184" s="4">
        <f>PROPER(TRIM(Raw_Data!M184))</f>
        <v/>
      </c>
      <c r="N184" s="6">
        <f>ROUND(Raw_Data!N184,2)</f>
        <v/>
      </c>
      <c r="O184" s="7">
        <f>IF(COUNTIF($A$2:$A$1201,A184)&gt;1,"DUPLICATE","Unique")</f>
        <v/>
      </c>
      <c r="P184" s="7">
        <f>IF(COUNTIF($J$2:$J$1201,J184)&gt;1,"DUPLICATE","Unique")</f>
        <v/>
      </c>
      <c r="Q184" s="4">
        <f>IF(TRIM(Raw_Data!L184)="","Yes","No")</f>
        <v/>
      </c>
      <c r="R184" s="4">
        <f>IF(ISNUMBER(B184),"Valid","INVALID")</f>
        <v/>
      </c>
    </row>
    <row r="185">
      <c r="A185" s="4">
        <f>TRIM(Raw_Data!A185)</f>
        <v/>
      </c>
      <c r="B185" s="5">
        <f>Raw_Data!B185</f>
        <v/>
      </c>
      <c r="C185" s="4">
        <f>TRIM(Raw_Data!C185)</f>
        <v/>
      </c>
      <c r="D185" s="4">
        <f>PROPER(TRIM(Raw_Data!D185))</f>
        <v/>
      </c>
      <c r="E185" s="4">
        <f>Raw_Data!E185</f>
        <v/>
      </c>
      <c r="F185" s="6">
        <f>ROUND(Raw_Data!F185,2)</f>
        <v/>
      </c>
      <c r="G185" s="4">
        <f>PROPER(TRIM(Raw_Data!G185))</f>
        <v/>
      </c>
      <c r="H185" s="4">
        <f>PROPER(TRIM(Raw_Data!H185))</f>
        <v/>
      </c>
      <c r="I185" s="4">
        <f>PROPER(TRIM(Raw_Data!I185))</f>
        <v/>
      </c>
      <c r="J185" s="4">
        <f>TRIM(Raw_Data!J185)</f>
        <v/>
      </c>
      <c r="K185" s="4">
        <f>Raw_Data!K185</f>
        <v/>
      </c>
      <c r="L185" s="4">
        <f>IF(TRIM(Raw_Data!L185)="","No Coupon",TRIM(Raw_Data!L185))</f>
        <v/>
      </c>
      <c r="M185" s="4">
        <f>PROPER(TRIM(Raw_Data!M185))</f>
        <v/>
      </c>
      <c r="N185" s="6">
        <f>ROUND(Raw_Data!N185,2)</f>
        <v/>
      </c>
      <c r="O185" s="7">
        <f>IF(COUNTIF($A$2:$A$1201,A185)&gt;1,"DUPLICATE","Unique")</f>
        <v/>
      </c>
      <c r="P185" s="7">
        <f>IF(COUNTIF($J$2:$J$1201,J185)&gt;1,"DUPLICATE","Unique")</f>
        <v/>
      </c>
      <c r="Q185" s="4">
        <f>IF(TRIM(Raw_Data!L185)="","Yes","No")</f>
        <v/>
      </c>
      <c r="R185" s="4">
        <f>IF(ISNUMBER(B185),"Valid","INVALID")</f>
        <v/>
      </c>
    </row>
    <row r="186">
      <c r="A186" s="4">
        <f>TRIM(Raw_Data!A186)</f>
        <v/>
      </c>
      <c r="B186" s="5">
        <f>Raw_Data!B186</f>
        <v/>
      </c>
      <c r="C186" s="4">
        <f>TRIM(Raw_Data!C186)</f>
        <v/>
      </c>
      <c r="D186" s="4">
        <f>PROPER(TRIM(Raw_Data!D186))</f>
        <v/>
      </c>
      <c r="E186" s="4">
        <f>Raw_Data!E186</f>
        <v/>
      </c>
      <c r="F186" s="6">
        <f>ROUND(Raw_Data!F186,2)</f>
        <v/>
      </c>
      <c r="G186" s="4">
        <f>PROPER(TRIM(Raw_Data!G186))</f>
        <v/>
      </c>
      <c r="H186" s="4">
        <f>PROPER(TRIM(Raw_Data!H186))</f>
        <v/>
      </c>
      <c r="I186" s="4">
        <f>PROPER(TRIM(Raw_Data!I186))</f>
        <v/>
      </c>
      <c r="J186" s="4">
        <f>TRIM(Raw_Data!J186)</f>
        <v/>
      </c>
      <c r="K186" s="4">
        <f>Raw_Data!K186</f>
        <v/>
      </c>
      <c r="L186" s="4">
        <f>IF(TRIM(Raw_Data!L186)="","No Coupon",TRIM(Raw_Data!L186))</f>
        <v/>
      </c>
      <c r="M186" s="4">
        <f>PROPER(TRIM(Raw_Data!M186))</f>
        <v/>
      </c>
      <c r="N186" s="6">
        <f>ROUND(Raw_Data!N186,2)</f>
        <v/>
      </c>
      <c r="O186" s="7">
        <f>IF(COUNTIF($A$2:$A$1201,A186)&gt;1,"DUPLICATE","Unique")</f>
        <v/>
      </c>
      <c r="P186" s="7">
        <f>IF(COUNTIF($J$2:$J$1201,J186)&gt;1,"DUPLICATE","Unique")</f>
        <v/>
      </c>
      <c r="Q186" s="4">
        <f>IF(TRIM(Raw_Data!L186)="","Yes","No")</f>
        <v/>
      </c>
      <c r="R186" s="4">
        <f>IF(ISNUMBER(B186),"Valid","INVALID")</f>
        <v/>
      </c>
    </row>
    <row r="187">
      <c r="A187" s="4">
        <f>TRIM(Raw_Data!A187)</f>
        <v/>
      </c>
      <c r="B187" s="5">
        <f>Raw_Data!B187</f>
        <v/>
      </c>
      <c r="C187" s="4">
        <f>TRIM(Raw_Data!C187)</f>
        <v/>
      </c>
      <c r="D187" s="4">
        <f>PROPER(TRIM(Raw_Data!D187))</f>
        <v/>
      </c>
      <c r="E187" s="4">
        <f>Raw_Data!E187</f>
        <v/>
      </c>
      <c r="F187" s="6">
        <f>ROUND(Raw_Data!F187,2)</f>
        <v/>
      </c>
      <c r="G187" s="4">
        <f>PROPER(TRIM(Raw_Data!G187))</f>
        <v/>
      </c>
      <c r="H187" s="4">
        <f>PROPER(TRIM(Raw_Data!H187))</f>
        <v/>
      </c>
      <c r="I187" s="4">
        <f>PROPER(TRIM(Raw_Data!I187))</f>
        <v/>
      </c>
      <c r="J187" s="4">
        <f>TRIM(Raw_Data!J187)</f>
        <v/>
      </c>
      <c r="K187" s="4">
        <f>Raw_Data!K187</f>
        <v/>
      </c>
      <c r="L187" s="4">
        <f>IF(TRIM(Raw_Data!L187)="","No Coupon",TRIM(Raw_Data!L187))</f>
        <v/>
      </c>
      <c r="M187" s="4">
        <f>PROPER(TRIM(Raw_Data!M187))</f>
        <v/>
      </c>
      <c r="N187" s="6">
        <f>ROUND(Raw_Data!N187,2)</f>
        <v/>
      </c>
      <c r="O187" s="7">
        <f>IF(COUNTIF($A$2:$A$1201,A187)&gt;1,"DUPLICATE","Unique")</f>
        <v/>
      </c>
      <c r="P187" s="7">
        <f>IF(COUNTIF($J$2:$J$1201,J187)&gt;1,"DUPLICATE","Unique")</f>
        <v/>
      </c>
      <c r="Q187" s="4">
        <f>IF(TRIM(Raw_Data!L187)="","Yes","No")</f>
        <v/>
      </c>
      <c r="R187" s="4">
        <f>IF(ISNUMBER(B187),"Valid","INVALID")</f>
        <v/>
      </c>
    </row>
    <row r="188">
      <c r="A188" s="4">
        <f>TRIM(Raw_Data!A188)</f>
        <v/>
      </c>
      <c r="B188" s="5">
        <f>Raw_Data!B188</f>
        <v/>
      </c>
      <c r="C188" s="4">
        <f>TRIM(Raw_Data!C188)</f>
        <v/>
      </c>
      <c r="D188" s="4">
        <f>PROPER(TRIM(Raw_Data!D188))</f>
        <v/>
      </c>
      <c r="E188" s="4">
        <f>Raw_Data!E188</f>
        <v/>
      </c>
      <c r="F188" s="6">
        <f>ROUND(Raw_Data!F188,2)</f>
        <v/>
      </c>
      <c r="G188" s="4">
        <f>PROPER(TRIM(Raw_Data!G188))</f>
        <v/>
      </c>
      <c r="H188" s="4">
        <f>PROPER(TRIM(Raw_Data!H188))</f>
        <v/>
      </c>
      <c r="I188" s="4">
        <f>PROPER(TRIM(Raw_Data!I188))</f>
        <v/>
      </c>
      <c r="J188" s="4">
        <f>TRIM(Raw_Data!J188)</f>
        <v/>
      </c>
      <c r="K188" s="4">
        <f>Raw_Data!K188</f>
        <v/>
      </c>
      <c r="L188" s="4">
        <f>IF(TRIM(Raw_Data!L188)="","No Coupon",TRIM(Raw_Data!L188))</f>
        <v/>
      </c>
      <c r="M188" s="4">
        <f>PROPER(TRIM(Raw_Data!M188))</f>
        <v/>
      </c>
      <c r="N188" s="6">
        <f>ROUND(Raw_Data!N188,2)</f>
        <v/>
      </c>
      <c r="O188" s="7">
        <f>IF(COUNTIF($A$2:$A$1201,A188)&gt;1,"DUPLICATE","Unique")</f>
        <v/>
      </c>
      <c r="P188" s="7">
        <f>IF(COUNTIF($J$2:$J$1201,J188)&gt;1,"DUPLICATE","Unique")</f>
        <v/>
      </c>
      <c r="Q188" s="4">
        <f>IF(TRIM(Raw_Data!L188)="","Yes","No")</f>
        <v/>
      </c>
      <c r="R188" s="4">
        <f>IF(ISNUMBER(B188),"Valid","INVALID")</f>
        <v/>
      </c>
    </row>
    <row r="189">
      <c r="A189" s="4">
        <f>TRIM(Raw_Data!A189)</f>
        <v/>
      </c>
      <c r="B189" s="5">
        <f>Raw_Data!B189</f>
        <v/>
      </c>
      <c r="C189" s="4">
        <f>TRIM(Raw_Data!C189)</f>
        <v/>
      </c>
      <c r="D189" s="4">
        <f>PROPER(TRIM(Raw_Data!D189))</f>
        <v/>
      </c>
      <c r="E189" s="4">
        <f>Raw_Data!E189</f>
        <v/>
      </c>
      <c r="F189" s="6">
        <f>ROUND(Raw_Data!F189,2)</f>
        <v/>
      </c>
      <c r="G189" s="4">
        <f>PROPER(TRIM(Raw_Data!G189))</f>
        <v/>
      </c>
      <c r="H189" s="4">
        <f>PROPER(TRIM(Raw_Data!H189))</f>
        <v/>
      </c>
      <c r="I189" s="4">
        <f>PROPER(TRIM(Raw_Data!I189))</f>
        <v/>
      </c>
      <c r="J189" s="4">
        <f>TRIM(Raw_Data!J189)</f>
        <v/>
      </c>
      <c r="K189" s="4">
        <f>Raw_Data!K189</f>
        <v/>
      </c>
      <c r="L189" s="4">
        <f>IF(TRIM(Raw_Data!L189)="","No Coupon",TRIM(Raw_Data!L189))</f>
        <v/>
      </c>
      <c r="M189" s="4">
        <f>PROPER(TRIM(Raw_Data!M189))</f>
        <v/>
      </c>
      <c r="N189" s="6">
        <f>ROUND(Raw_Data!N189,2)</f>
        <v/>
      </c>
      <c r="O189" s="7">
        <f>IF(COUNTIF($A$2:$A$1201,A189)&gt;1,"DUPLICATE","Unique")</f>
        <v/>
      </c>
      <c r="P189" s="7">
        <f>IF(COUNTIF($J$2:$J$1201,J189)&gt;1,"DUPLICATE","Unique")</f>
        <v/>
      </c>
      <c r="Q189" s="4">
        <f>IF(TRIM(Raw_Data!L189)="","Yes","No")</f>
        <v/>
      </c>
      <c r="R189" s="4">
        <f>IF(ISNUMBER(B189),"Valid","INVALID")</f>
        <v/>
      </c>
    </row>
    <row r="190">
      <c r="A190" s="4">
        <f>TRIM(Raw_Data!A190)</f>
        <v/>
      </c>
      <c r="B190" s="5">
        <f>Raw_Data!B190</f>
        <v/>
      </c>
      <c r="C190" s="4">
        <f>TRIM(Raw_Data!C190)</f>
        <v/>
      </c>
      <c r="D190" s="4">
        <f>PROPER(TRIM(Raw_Data!D190))</f>
        <v/>
      </c>
      <c r="E190" s="4">
        <f>Raw_Data!E190</f>
        <v/>
      </c>
      <c r="F190" s="6">
        <f>ROUND(Raw_Data!F190,2)</f>
        <v/>
      </c>
      <c r="G190" s="4">
        <f>PROPER(TRIM(Raw_Data!G190))</f>
        <v/>
      </c>
      <c r="H190" s="4">
        <f>PROPER(TRIM(Raw_Data!H190))</f>
        <v/>
      </c>
      <c r="I190" s="4">
        <f>PROPER(TRIM(Raw_Data!I190))</f>
        <v/>
      </c>
      <c r="J190" s="4">
        <f>TRIM(Raw_Data!J190)</f>
        <v/>
      </c>
      <c r="K190" s="4">
        <f>Raw_Data!K190</f>
        <v/>
      </c>
      <c r="L190" s="4">
        <f>IF(TRIM(Raw_Data!L190)="","No Coupon",TRIM(Raw_Data!L190))</f>
        <v/>
      </c>
      <c r="M190" s="4">
        <f>PROPER(TRIM(Raw_Data!M190))</f>
        <v/>
      </c>
      <c r="N190" s="6">
        <f>ROUND(Raw_Data!N190,2)</f>
        <v/>
      </c>
      <c r="O190" s="7">
        <f>IF(COUNTIF($A$2:$A$1201,A190)&gt;1,"DUPLICATE","Unique")</f>
        <v/>
      </c>
      <c r="P190" s="7">
        <f>IF(COUNTIF($J$2:$J$1201,J190)&gt;1,"DUPLICATE","Unique")</f>
        <v/>
      </c>
      <c r="Q190" s="4">
        <f>IF(TRIM(Raw_Data!L190)="","Yes","No")</f>
        <v/>
      </c>
      <c r="R190" s="4">
        <f>IF(ISNUMBER(B190),"Valid","INVALID")</f>
        <v/>
      </c>
    </row>
    <row r="191">
      <c r="A191" s="4">
        <f>TRIM(Raw_Data!A191)</f>
        <v/>
      </c>
      <c r="B191" s="5">
        <f>Raw_Data!B191</f>
        <v/>
      </c>
      <c r="C191" s="4">
        <f>TRIM(Raw_Data!C191)</f>
        <v/>
      </c>
      <c r="D191" s="4">
        <f>PROPER(TRIM(Raw_Data!D191))</f>
        <v/>
      </c>
      <c r="E191" s="4">
        <f>Raw_Data!E191</f>
        <v/>
      </c>
      <c r="F191" s="6">
        <f>ROUND(Raw_Data!F191,2)</f>
        <v/>
      </c>
      <c r="G191" s="4">
        <f>PROPER(TRIM(Raw_Data!G191))</f>
        <v/>
      </c>
      <c r="H191" s="4">
        <f>PROPER(TRIM(Raw_Data!H191))</f>
        <v/>
      </c>
      <c r="I191" s="4">
        <f>PROPER(TRIM(Raw_Data!I191))</f>
        <v/>
      </c>
      <c r="J191" s="4">
        <f>TRIM(Raw_Data!J191)</f>
        <v/>
      </c>
      <c r="K191" s="4">
        <f>Raw_Data!K191</f>
        <v/>
      </c>
      <c r="L191" s="4">
        <f>IF(TRIM(Raw_Data!L191)="","No Coupon",TRIM(Raw_Data!L191))</f>
        <v/>
      </c>
      <c r="M191" s="4">
        <f>PROPER(TRIM(Raw_Data!M191))</f>
        <v/>
      </c>
      <c r="N191" s="6">
        <f>ROUND(Raw_Data!N191,2)</f>
        <v/>
      </c>
      <c r="O191" s="7">
        <f>IF(COUNTIF($A$2:$A$1201,A191)&gt;1,"DUPLICATE","Unique")</f>
        <v/>
      </c>
      <c r="P191" s="7">
        <f>IF(COUNTIF($J$2:$J$1201,J191)&gt;1,"DUPLICATE","Unique")</f>
        <v/>
      </c>
      <c r="Q191" s="4">
        <f>IF(TRIM(Raw_Data!L191)="","Yes","No")</f>
        <v/>
      </c>
      <c r="R191" s="4">
        <f>IF(ISNUMBER(B191),"Valid","INVALID")</f>
        <v/>
      </c>
    </row>
    <row r="192">
      <c r="A192" s="4">
        <f>TRIM(Raw_Data!A192)</f>
        <v/>
      </c>
      <c r="B192" s="5">
        <f>Raw_Data!B192</f>
        <v/>
      </c>
      <c r="C192" s="4">
        <f>TRIM(Raw_Data!C192)</f>
        <v/>
      </c>
      <c r="D192" s="4">
        <f>PROPER(TRIM(Raw_Data!D192))</f>
        <v/>
      </c>
      <c r="E192" s="4">
        <f>Raw_Data!E192</f>
        <v/>
      </c>
      <c r="F192" s="6">
        <f>ROUND(Raw_Data!F192,2)</f>
        <v/>
      </c>
      <c r="G192" s="4">
        <f>PROPER(TRIM(Raw_Data!G192))</f>
        <v/>
      </c>
      <c r="H192" s="4">
        <f>PROPER(TRIM(Raw_Data!H192))</f>
        <v/>
      </c>
      <c r="I192" s="4">
        <f>PROPER(TRIM(Raw_Data!I192))</f>
        <v/>
      </c>
      <c r="J192" s="4">
        <f>TRIM(Raw_Data!J192)</f>
        <v/>
      </c>
      <c r="K192" s="4">
        <f>Raw_Data!K192</f>
        <v/>
      </c>
      <c r="L192" s="4">
        <f>IF(TRIM(Raw_Data!L192)="","No Coupon",TRIM(Raw_Data!L192))</f>
        <v/>
      </c>
      <c r="M192" s="4">
        <f>PROPER(TRIM(Raw_Data!M192))</f>
        <v/>
      </c>
      <c r="N192" s="6">
        <f>ROUND(Raw_Data!N192,2)</f>
        <v/>
      </c>
      <c r="O192" s="7">
        <f>IF(COUNTIF($A$2:$A$1201,A192)&gt;1,"DUPLICATE","Unique")</f>
        <v/>
      </c>
      <c r="P192" s="7">
        <f>IF(COUNTIF($J$2:$J$1201,J192)&gt;1,"DUPLICATE","Unique")</f>
        <v/>
      </c>
      <c r="Q192" s="4">
        <f>IF(TRIM(Raw_Data!L192)="","Yes","No")</f>
        <v/>
      </c>
      <c r="R192" s="4">
        <f>IF(ISNUMBER(B192),"Valid","INVALID")</f>
        <v/>
      </c>
    </row>
    <row r="193">
      <c r="A193" s="4">
        <f>TRIM(Raw_Data!A193)</f>
        <v/>
      </c>
      <c r="B193" s="5">
        <f>Raw_Data!B193</f>
        <v/>
      </c>
      <c r="C193" s="4">
        <f>TRIM(Raw_Data!C193)</f>
        <v/>
      </c>
      <c r="D193" s="4">
        <f>PROPER(TRIM(Raw_Data!D193))</f>
        <v/>
      </c>
      <c r="E193" s="4">
        <f>Raw_Data!E193</f>
        <v/>
      </c>
      <c r="F193" s="6">
        <f>ROUND(Raw_Data!F193,2)</f>
        <v/>
      </c>
      <c r="G193" s="4">
        <f>PROPER(TRIM(Raw_Data!G193))</f>
        <v/>
      </c>
      <c r="H193" s="4">
        <f>PROPER(TRIM(Raw_Data!H193))</f>
        <v/>
      </c>
      <c r="I193" s="4">
        <f>PROPER(TRIM(Raw_Data!I193))</f>
        <v/>
      </c>
      <c r="J193" s="4">
        <f>TRIM(Raw_Data!J193)</f>
        <v/>
      </c>
      <c r="K193" s="4">
        <f>Raw_Data!K193</f>
        <v/>
      </c>
      <c r="L193" s="4">
        <f>IF(TRIM(Raw_Data!L193)="","No Coupon",TRIM(Raw_Data!L193))</f>
        <v/>
      </c>
      <c r="M193" s="4">
        <f>PROPER(TRIM(Raw_Data!M193))</f>
        <v/>
      </c>
      <c r="N193" s="6">
        <f>ROUND(Raw_Data!N193,2)</f>
        <v/>
      </c>
      <c r="O193" s="7">
        <f>IF(COUNTIF($A$2:$A$1201,A193)&gt;1,"DUPLICATE","Unique")</f>
        <v/>
      </c>
      <c r="P193" s="7">
        <f>IF(COUNTIF($J$2:$J$1201,J193)&gt;1,"DUPLICATE","Unique")</f>
        <v/>
      </c>
      <c r="Q193" s="4">
        <f>IF(TRIM(Raw_Data!L193)="","Yes","No")</f>
        <v/>
      </c>
      <c r="R193" s="4">
        <f>IF(ISNUMBER(B193),"Valid","INVALID")</f>
        <v/>
      </c>
    </row>
    <row r="194">
      <c r="A194" s="4">
        <f>TRIM(Raw_Data!A194)</f>
        <v/>
      </c>
      <c r="B194" s="5">
        <f>Raw_Data!B194</f>
        <v/>
      </c>
      <c r="C194" s="4">
        <f>TRIM(Raw_Data!C194)</f>
        <v/>
      </c>
      <c r="D194" s="4">
        <f>PROPER(TRIM(Raw_Data!D194))</f>
        <v/>
      </c>
      <c r="E194" s="4">
        <f>Raw_Data!E194</f>
        <v/>
      </c>
      <c r="F194" s="6">
        <f>ROUND(Raw_Data!F194,2)</f>
        <v/>
      </c>
      <c r="G194" s="4">
        <f>PROPER(TRIM(Raw_Data!G194))</f>
        <v/>
      </c>
      <c r="H194" s="4">
        <f>PROPER(TRIM(Raw_Data!H194))</f>
        <v/>
      </c>
      <c r="I194" s="4">
        <f>PROPER(TRIM(Raw_Data!I194))</f>
        <v/>
      </c>
      <c r="J194" s="4">
        <f>TRIM(Raw_Data!J194)</f>
        <v/>
      </c>
      <c r="K194" s="4">
        <f>Raw_Data!K194</f>
        <v/>
      </c>
      <c r="L194" s="4">
        <f>IF(TRIM(Raw_Data!L194)="","No Coupon",TRIM(Raw_Data!L194))</f>
        <v/>
      </c>
      <c r="M194" s="4">
        <f>PROPER(TRIM(Raw_Data!M194))</f>
        <v/>
      </c>
      <c r="N194" s="6">
        <f>ROUND(Raw_Data!N194,2)</f>
        <v/>
      </c>
      <c r="O194" s="7">
        <f>IF(COUNTIF($A$2:$A$1201,A194)&gt;1,"DUPLICATE","Unique")</f>
        <v/>
      </c>
      <c r="P194" s="7">
        <f>IF(COUNTIF($J$2:$J$1201,J194)&gt;1,"DUPLICATE","Unique")</f>
        <v/>
      </c>
      <c r="Q194" s="4">
        <f>IF(TRIM(Raw_Data!L194)="","Yes","No")</f>
        <v/>
      </c>
      <c r="R194" s="4">
        <f>IF(ISNUMBER(B194),"Valid","INVALID")</f>
        <v/>
      </c>
    </row>
    <row r="195">
      <c r="A195" s="4">
        <f>TRIM(Raw_Data!A195)</f>
        <v/>
      </c>
      <c r="B195" s="5">
        <f>Raw_Data!B195</f>
        <v/>
      </c>
      <c r="C195" s="4">
        <f>TRIM(Raw_Data!C195)</f>
        <v/>
      </c>
      <c r="D195" s="4">
        <f>PROPER(TRIM(Raw_Data!D195))</f>
        <v/>
      </c>
      <c r="E195" s="4">
        <f>Raw_Data!E195</f>
        <v/>
      </c>
      <c r="F195" s="6">
        <f>ROUND(Raw_Data!F195,2)</f>
        <v/>
      </c>
      <c r="G195" s="4">
        <f>PROPER(TRIM(Raw_Data!G195))</f>
        <v/>
      </c>
      <c r="H195" s="4">
        <f>PROPER(TRIM(Raw_Data!H195))</f>
        <v/>
      </c>
      <c r="I195" s="4">
        <f>PROPER(TRIM(Raw_Data!I195))</f>
        <v/>
      </c>
      <c r="J195" s="4">
        <f>TRIM(Raw_Data!J195)</f>
        <v/>
      </c>
      <c r="K195" s="4">
        <f>Raw_Data!K195</f>
        <v/>
      </c>
      <c r="L195" s="4">
        <f>IF(TRIM(Raw_Data!L195)="","No Coupon",TRIM(Raw_Data!L195))</f>
        <v/>
      </c>
      <c r="M195" s="4">
        <f>PROPER(TRIM(Raw_Data!M195))</f>
        <v/>
      </c>
      <c r="N195" s="6">
        <f>ROUND(Raw_Data!N195,2)</f>
        <v/>
      </c>
      <c r="O195" s="7">
        <f>IF(COUNTIF($A$2:$A$1201,A195)&gt;1,"DUPLICATE","Unique")</f>
        <v/>
      </c>
      <c r="P195" s="7">
        <f>IF(COUNTIF($J$2:$J$1201,J195)&gt;1,"DUPLICATE","Unique")</f>
        <v/>
      </c>
      <c r="Q195" s="4">
        <f>IF(TRIM(Raw_Data!L195)="","Yes","No")</f>
        <v/>
      </c>
      <c r="R195" s="4">
        <f>IF(ISNUMBER(B195),"Valid","INVALID")</f>
        <v/>
      </c>
    </row>
    <row r="196">
      <c r="A196" s="4">
        <f>TRIM(Raw_Data!A196)</f>
        <v/>
      </c>
      <c r="B196" s="5">
        <f>Raw_Data!B196</f>
        <v/>
      </c>
      <c r="C196" s="4">
        <f>TRIM(Raw_Data!C196)</f>
        <v/>
      </c>
      <c r="D196" s="4">
        <f>PROPER(TRIM(Raw_Data!D196))</f>
        <v/>
      </c>
      <c r="E196" s="4">
        <f>Raw_Data!E196</f>
        <v/>
      </c>
      <c r="F196" s="6">
        <f>ROUND(Raw_Data!F196,2)</f>
        <v/>
      </c>
      <c r="G196" s="4">
        <f>PROPER(TRIM(Raw_Data!G196))</f>
        <v/>
      </c>
      <c r="H196" s="4">
        <f>PROPER(TRIM(Raw_Data!H196))</f>
        <v/>
      </c>
      <c r="I196" s="4">
        <f>PROPER(TRIM(Raw_Data!I196))</f>
        <v/>
      </c>
      <c r="J196" s="4">
        <f>TRIM(Raw_Data!J196)</f>
        <v/>
      </c>
      <c r="K196" s="4">
        <f>Raw_Data!K196</f>
        <v/>
      </c>
      <c r="L196" s="4">
        <f>IF(TRIM(Raw_Data!L196)="","No Coupon",TRIM(Raw_Data!L196))</f>
        <v/>
      </c>
      <c r="M196" s="4">
        <f>PROPER(TRIM(Raw_Data!M196))</f>
        <v/>
      </c>
      <c r="N196" s="6">
        <f>ROUND(Raw_Data!N196,2)</f>
        <v/>
      </c>
      <c r="O196" s="7">
        <f>IF(COUNTIF($A$2:$A$1201,A196)&gt;1,"DUPLICATE","Unique")</f>
        <v/>
      </c>
      <c r="P196" s="7">
        <f>IF(COUNTIF($J$2:$J$1201,J196)&gt;1,"DUPLICATE","Unique")</f>
        <v/>
      </c>
      <c r="Q196" s="4">
        <f>IF(TRIM(Raw_Data!L196)="","Yes","No")</f>
        <v/>
      </c>
      <c r="R196" s="4">
        <f>IF(ISNUMBER(B196),"Valid","INVALID")</f>
        <v/>
      </c>
    </row>
    <row r="197">
      <c r="A197" s="4">
        <f>TRIM(Raw_Data!A197)</f>
        <v/>
      </c>
      <c r="B197" s="5">
        <f>Raw_Data!B197</f>
        <v/>
      </c>
      <c r="C197" s="4">
        <f>TRIM(Raw_Data!C197)</f>
        <v/>
      </c>
      <c r="D197" s="4">
        <f>PROPER(TRIM(Raw_Data!D197))</f>
        <v/>
      </c>
      <c r="E197" s="4">
        <f>Raw_Data!E197</f>
        <v/>
      </c>
      <c r="F197" s="6">
        <f>ROUND(Raw_Data!F197,2)</f>
        <v/>
      </c>
      <c r="G197" s="4">
        <f>PROPER(TRIM(Raw_Data!G197))</f>
        <v/>
      </c>
      <c r="H197" s="4">
        <f>PROPER(TRIM(Raw_Data!H197))</f>
        <v/>
      </c>
      <c r="I197" s="4">
        <f>PROPER(TRIM(Raw_Data!I197))</f>
        <v/>
      </c>
      <c r="J197" s="4">
        <f>TRIM(Raw_Data!J197)</f>
        <v/>
      </c>
      <c r="K197" s="4">
        <f>Raw_Data!K197</f>
        <v/>
      </c>
      <c r="L197" s="4">
        <f>IF(TRIM(Raw_Data!L197)="","No Coupon",TRIM(Raw_Data!L197))</f>
        <v/>
      </c>
      <c r="M197" s="4">
        <f>PROPER(TRIM(Raw_Data!M197))</f>
        <v/>
      </c>
      <c r="N197" s="6">
        <f>ROUND(Raw_Data!N197,2)</f>
        <v/>
      </c>
      <c r="O197" s="7">
        <f>IF(COUNTIF($A$2:$A$1201,A197)&gt;1,"DUPLICATE","Unique")</f>
        <v/>
      </c>
      <c r="P197" s="7">
        <f>IF(COUNTIF($J$2:$J$1201,J197)&gt;1,"DUPLICATE","Unique")</f>
        <v/>
      </c>
      <c r="Q197" s="4">
        <f>IF(TRIM(Raw_Data!L197)="","Yes","No")</f>
        <v/>
      </c>
      <c r="R197" s="4">
        <f>IF(ISNUMBER(B197),"Valid","INVALID")</f>
        <v/>
      </c>
    </row>
    <row r="198">
      <c r="A198" s="4">
        <f>TRIM(Raw_Data!A198)</f>
        <v/>
      </c>
      <c r="B198" s="5">
        <f>Raw_Data!B198</f>
        <v/>
      </c>
      <c r="C198" s="4">
        <f>TRIM(Raw_Data!C198)</f>
        <v/>
      </c>
      <c r="D198" s="4">
        <f>PROPER(TRIM(Raw_Data!D198))</f>
        <v/>
      </c>
      <c r="E198" s="4">
        <f>Raw_Data!E198</f>
        <v/>
      </c>
      <c r="F198" s="6">
        <f>ROUND(Raw_Data!F198,2)</f>
        <v/>
      </c>
      <c r="G198" s="4">
        <f>PROPER(TRIM(Raw_Data!G198))</f>
        <v/>
      </c>
      <c r="H198" s="4">
        <f>PROPER(TRIM(Raw_Data!H198))</f>
        <v/>
      </c>
      <c r="I198" s="4">
        <f>PROPER(TRIM(Raw_Data!I198))</f>
        <v/>
      </c>
      <c r="J198" s="4">
        <f>TRIM(Raw_Data!J198)</f>
        <v/>
      </c>
      <c r="K198" s="4">
        <f>Raw_Data!K198</f>
        <v/>
      </c>
      <c r="L198" s="4">
        <f>IF(TRIM(Raw_Data!L198)="","No Coupon",TRIM(Raw_Data!L198))</f>
        <v/>
      </c>
      <c r="M198" s="4">
        <f>PROPER(TRIM(Raw_Data!M198))</f>
        <v/>
      </c>
      <c r="N198" s="6">
        <f>ROUND(Raw_Data!N198,2)</f>
        <v/>
      </c>
      <c r="O198" s="7">
        <f>IF(COUNTIF($A$2:$A$1201,A198)&gt;1,"DUPLICATE","Unique")</f>
        <v/>
      </c>
      <c r="P198" s="7">
        <f>IF(COUNTIF($J$2:$J$1201,J198)&gt;1,"DUPLICATE","Unique")</f>
        <v/>
      </c>
      <c r="Q198" s="4">
        <f>IF(TRIM(Raw_Data!L198)="","Yes","No")</f>
        <v/>
      </c>
      <c r="R198" s="4">
        <f>IF(ISNUMBER(B198),"Valid","INVALID")</f>
        <v/>
      </c>
    </row>
    <row r="199">
      <c r="A199" s="4">
        <f>TRIM(Raw_Data!A199)</f>
        <v/>
      </c>
      <c r="B199" s="5">
        <f>Raw_Data!B199</f>
        <v/>
      </c>
      <c r="C199" s="4">
        <f>TRIM(Raw_Data!C199)</f>
        <v/>
      </c>
      <c r="D199" s="4">
        <f>PROPER(TRIM(Raw_Data!D199))</f>
        <v/>
      </c>
      <c r="E199" s="4">
        <f>Raw_Data!E199</f>
        <v/>
      </c>
      <c r="F199" s="6">
        <f>ROUND(Raw_Data!F199,2)</f>
        <v/>
      </c>
      <c r="G199" s="4">
        <f>PROPER(TRIM(Raw_Data!G199))</f>
        <v/>
      </c>
      <c r="H199" s="4">
        <f>PROPER(TRIM(Raw_Data!H199))</f>
        <v/>
      </c>
      <c r="I199" s="4">
        <f>PROPER(TRIM(Raw_Data!I199))</f>
        <v/>
      </c>
      <c r="J199" s="4">
        <f>TRIM(Raw_Data!J199)</f>
        <v/>
      </c>
      <c r="K199" s="4">
        <f>Raw_Data!K199</f>
        <v/>
      </c>
      <c r="L199" s="4">
        <f>IF(TRIM(Raw_Data!L199)="","No Coupon",TRIM(Raw_Data!L199))</f>
        <v/>
      </c>
      <c r="M199" s="4">
        <f>PROPER(TRIM(Raw_Data!M199))</f>
        <v/>
      </c>
      <c r="N199" s="6">
        <f>ROUND(Raw_Data!N199,2)</f>
        <v/>
      </c>
      <c r="O199" s="7">
        <f>IF(COUNTIF($A$2:$A$1201,A199)&gt;1,"DUPLICATE","Unique")</f>
        <v/>
      </c>
      <c r="P199" s="7">
        <f>IF(COUNTIF($J$2:$J$1201,J199)&gt;1,"DUPLICATE","Unique")</f>
        <v/>
      </c>
      <c r="Q199" s="4">
        <f>IF(TRIM(Raw_Data!L199)="","Yes","No")</f>
        <v/>
      </c>
      <c r="R199" s="4">
        <f>IF(ISNUMBER(B199),"Valid","INVALID")</f>
        <v/>
      </c>
    </row>
    <row r="200">
      <c r="A200" s="4">
        <f>TRIM(Raw_Data!A200)</f>
        <v/>
      </c>
      <c r="B200" s="5">
        <f>Raw_Data!B200</f>
        <v/>
      </c>
      <c r="C200" s="4">
        <f>TRIM(Raw_Data!C200)</f>
        <v/>
      </c>
      <c r="D200" s="4">
        <f>PROPER(TRIM(Raw_Data!D200))</f>
        <v/>
      </c>
      <c r="E200" s="4">
        <f>Raw_Data!E200</f>
        <v/>
      </c>
      <c r="F200" s="6">
        <f>ROUND(Raw_Data!F200,2)</f>
        <v/>
      </c>
      <c r="G200" s="4">
        <f>PROPER(TRIM(Raw_Data!G200))</f>
        <v/>
      </c>
      <c r="H200" s="4">
        <f>PROPER(TRIM(Raw_Data!H200))</f>
        <v/>
      </c>
      <c r="I200" s="4">
        <f>PROPER(TRIM(Raw_Data!I200))</f>
        <v/>
      </c>
      <c r="J200" s="4">
        <f>TRIM(Raw_Data!J200)</f>
        <v/>
      </c>
      <c r="K200" s="4">
        <f>Raw_Data!K200</f>
        <v/>
      </c>
      <c r="L200" s="4">
        <f>IF(TRIM(Raw_Data!L200)="","No Coupon",TRIM(Raw_Data!L200))</f>
        <v/>
      </c>
      <c r="M200" s="4">
        <f>PROPER(TRIM(Raw_Data!M200))</f>
        <v/>
      </c>
      <c r="N200" s="6">
        <f>ROUND(Raw_Data!N200,2)</f>
        <v/>
      </c>
      <c r="O200" s="7">
        <f>IF(COUNTIF($A$2:$A$1201,A200)&gt;1,"DUPLICATE","Unique")</f>
        <v/>
      </c>
      <c r="P200" s="7">
        <f>IF(COUNTIF($J$2:$J$1201,J200)&gt;1,"DUPLICATE","Unique")</f>
        <v/>
      </c>
      <c r="Q200" s="4">
        <f>IF(TRIM(Raw_Data!L200)="","Yes","No")</f>
        <v/>
      </c>
      <c r="R200" s="4">
        <f>IF(ISNUMBER(B200),"Valid","INVALID")</f>
        <v/>
      </c>
    </row>
    <row r="201">
      <c r="A201" s="4">
        <f>TRIM(Raw_Data!A201)</f>
        <v/>
      </c>
      <c r="B201" s="5">
        <f>Raw_Data!B201</f>
        <v/>
      </c>
      <c r="C201" s="4">
        <f>TRIM(Raw_Data!C201)</f>
        <v/>
      </c>
      <c r="D201" s="4">
        <f>PROPER(TRIM(Raw_Data!D201))</f>
        <v/>
      </c>
      <c r="E201" s="4">
        <f>Raw_Data!E201</f>
        <v/>
      </c>
      <c r="F201" s="6">
        <f>ROUND(Raw_Data!F201,2)</f>
        <v/>
      </c>
      <c r="G201" s="4">
        <f>PROPER(TRIM(Raw_Data!G201))</f>
        <v/>
      </c>
      <c r="H201" s="4">
        <f>PROPER(TRIM(Raw_Data!H201))</f>
        <v/>
      </c>
      <c r="I201" s="4">
        <f>PROPER(TRIM(Raw_Data!I201))</f>
        <v/>
      </c>
      <c r="J201" s="4">
        <f>TRIM(Raw_Data!J201)</f>
        <v/>
      </c>
      <c r="K201" s="4">
        <f>Raw_Data!K201</f>
        <v/>
      </c>
      <c r="L201" s="4">
        <f>IF(TRIM(Raw_Data!L201)="","No Coupon",TRIM(Raw_Data!L201))</f>
        <v/>
      </c>
      <c r="M201" s="4">
        <f>PROPER(TRIM(Raw_Data!M201))</f>
        <v/>
      </c>
      <c r="N201" s="6">
        <f>ROUND(Raw_Data!N201,2)</f>
        <v/>
      </c>
      <c r="O201" s="7">
        <f>IF(COUNTIF($A$2:$A$1201,A201)&gt;1,"DUPLICATE","Unique")</f>
        <v/>
      </c>
      <c r="P201" s="7">
        <f>IF(COUNTIF($J$2:$J$1201,J201)&gt;1,"DUPLICATE","Unique")</f>
        <v/>
      </c>
      <c r="Q201" s="4">
        <f>IF(TRIM(Raw_Data!L201)="","Yes","No")</f>
        <v/>
      </c>
      <c r="R201" s="4">
        <f>IF(ISNUMBER(B201),"Valid","INVALID")</f>
        <v/>
      </c>
    </row>
    <row r="202">
      <c r="A202" s="4">
        <f>TRIM(Raw_Data!A202)</f>
        <v/>
      </c>
      <c r="B202" s="5">
        <f>Raw_Data!B202</f>
        <v/>
      </c>
      <c r="C202" s="4">
        <f>TRIM(Raw_Data!C202)</f>
        <v/>
      </c>
      <c r="D202" s="4">
        <f>PROPER(TRIM(Raw_Data!D202))</f>
        <v/>
      </c>
      <c r="E202" s="4">
        <f>Raw_Data!E202</f>
        <v/>
      </c>
      <c r="F202" s="6">
        <f>ROUND(Raw_Data!F202,2)</f>
        <v/>
      </c>
      <c r="G202" s="4">
        <f>PROPER(TRIM(Raw_Data!G202))</f>
        <v/>
      </c>
      <c r="H202" s="4">
        <f>PROPER(TRIM(Raw_Data!H202))</f>
        <v/>
      </c>
      <c r="I202" s="4">
        <f>PROPER(TRIM(Raw_Data!I202))</f>
        <v/>
      </c>
      <c r="J202" s="4">
        <f>TRIM(Raw_Data!J202)</f>
        <v/>
      </c>
      <c r="K202" s="4">
        <f>Raw_Data!K202</f>
        <v/>
      </c>
      <c r="L202" s="4">
        <f>IF(TRIM(Raw_Data!L202)="","No Coupon",TRIM(Raw_Data!L202))</f>
        <v/>
      </c>
      <c r="M202" s="4">
        <f>PROPER(TRIM(Raw_Data!M202))</f>
        <v/>
      </c>
      <c r="N202" s="6">
        <f>ROUND(Raw_Data!N202,2)</f>
        <v/>
      </c>
      <c r="O202" s="7">
        <f>IF(COUNTIF($A$2:$A$1201,A202)&gt;1,"DUPLICATE","Unique")</f>
        <v/>
      </c>
      <c r="P202" s="7">
        <f>IF(COUNTIF($J$2:$J$1201,J202)&gt;1,"DUPLICATE","Unique")</f>
        <v/>
      </c>
      <c r="Q202" s="4">
        <f>IF(TRIM(Raw_Data!L202)="","Yes","No")</f>
        <v/>
      </c>
      <c r="R202" s="4">
        <f>IF(ISNUMBER(B202),"Valid","INVALID")</f>
        <v/>
      </c>
    </row>
    <row r="203">
      <c r="A203" s="4">
        <f>TRIM(Raw_Data!A203)</f>
        <v/>
      </c>
      <c r="B203" s="5">
        <f>Raw_Data!B203</f>
        <v/>
      </c>
      <c r="C203" s="4">
        <f>TRIM(Raw_Data!C203)</f>
        <v/>
      </c>
      <c r="D203" s="4">
        <f>PROPER(TRIM(Raw_Data!D203))</f>
        <v/>
      </c>
      <c r="E203" s="4">
        <f>Raw_Data!E203</f>
        <v/>
      </c>
      <c r="F203" s="6">
        <f>ROUND(Raw_Data!F203,2)</f>
        <v/>
      </c>
      <c r="G203" s="4">
        <f>PROPER(TRIM(Raw_Data!G203))</f>
        <v/>
      </c>
      <c r="H203" s="4">
        <f>PROPER(TRIM(Raw_Data!H203))</f>
        <v/>
      </c>
      <c r="I203" s="4">
        <f>PROPER(TRIM(Raw_Data!I203))</f>
        <v/>
      </c>
      <c r="J203" s="4">
        <f>TRIM(Raw_Data!J203)</f>
        <v/>
      </c>
      <c r="K203" s="4">
        <f>Raw_Data!K203</f>
        <v/>
      </c>
      <c r="L203" s="4">
        <f>IF(TRIM(Raw_Data!L203)="","No Coupon",TRIM(Raw_Data!L203))</f>
        <v/>
      </c>
      <c r="M203" s="4">
        <f>PROPER(TRIM(Raw_Data!M203))</f>
        <v/>
      </c>
      <c r="N203" s="6">
        <f>ROUND(Raw_Data!N203,2)</f>
        <v/>
      </c>
      <c r="O203" s="7">
        <f>IF(COUNTIF($A$2:$A$1201,A203)&gt;1,"DUPLICATE","Unique")</f>
        <v/>
      </c>
      <c r="P203" s="7">
        <f>IF(COUNTIF($J$2:$J$1201,J203)&gt;1,"DUPLICATE","Unique")</f>
        <v/>
      </c>
      <c r="Q203" s="4">
        <f>IF(TRIM(Raw_Data!L203)="","Yes","No")</f>
        <v/>
      </c>
      <c r="R203" s="4">
        <f>IF(ISNUMBER(B203),"Valid","INVALID")</f>
        <v/>
      </c>
    </row>
    <row r="204">
      <c r="A204" s="4">
        <f>TRIM(Raw_Data!A204)</f>
        <v/>
      </c>
      <c r="B204" s="5">
        <f>Raw_Data!B204</f>
        <v/>
      </c>
      <c r="C204" s="4">
        <f>TRIM(Raw_Data!C204)</f>
        <v/>
      </c>
      <c r="D204" s="4">
        <f>PROPER(TRIM(Raw_Data!D204))</f>
        <v/>
      </c>
      <c r="E204" s="4">
        <f>Raw_Data!E204</f>
        <v/>
      </c>
      <c r="F204" s="6">
        <f>ROUND(Raw_Data!F204,2)</f>
        <v/>
      </c>
      <c r="G204" s="4">
        <f>PROPER(TRIM(Raw_Data!G204))</f>
        <v/>
      </c>
      <c r="H204" s="4">
        <f>PROPER(TRIM(Raw_Data!H204))</f>
        <v/>
      </c>
      <c r="I204" s="4">
        <f>PROPER(TRIM(Raw_Data!I204))</f>
        <v/>
      </c>
      <c r="J204" s="4">
        <f>TRIM(Raw_Data!J204)</f>
        <v/>
      </c>
      <c r="K204" s="4">
        <f>Raw_Data!K204</f>
        <v/>
      </c>
      <c r="L204" s="4">
        <f>IF(TRIM(Raw_Data!L204)="","No Coupon",TRIM(Raw_Data!L204))</f>
        <v/>
      </c>
      <c r="M204" s="4">
        <f>PROPER(TRIM(Raw_Data!M204))</f>
        <v/>
      </c>
      <c r="N204" s="6">
        <f>ROUND(Raw_Data!N204,2)</f>
        <v/>
      </c>
      <c r="O204" s="7">
        <f>IF(COUNTIF($A$2:$A$1201,A204)&gt;1,"DUPLICATE","Unique")</f>
        <v/>
      </c>
      <c r="P204" s="7">
        <f>IF(COUNTIF($J$2:$J$1201,J204)&gt;1,"DUPLICATE","Unique")</f>
        <v/>
      </c>
      <c r="Q204" s="4">
        <f>IF(TRIM(Raw_Data!L204)="","Yes","No")</f>
        <v/>
      </c>
      <c r="R204" s="4">
        <f>IF(ISNUMBER(B204),"Valid","INVALID")</f>
        <v/>
      </c>
    </row>
    <row r="205">
      <c r="A205" s="4">
        <f>TRIM(Raw_Data!A205)</f>
        <v/>
      </c>
      <c r="B205" s="5">
        <f>Raw_Data!B205</f>
        <v/>
      </c>
      <c r="C205" s="4">
        <f>TRIM(Raw_Data!C205)</f>
        <v/>
      </c>
      <c r="D205" s="4">
        <f>PROPER(TRIM(Raw_Data!D205))</f>
        <v/>
      </c>
      <c r="E205" s="4">
        <f>Raw_Data!E205</f>
        <v/>
      </c>
      <c r="F205" s="6">
        <f>ROUND(Raw_Data!F205,2)</f>
        <v/>
      </c>
      <c r="G205" s="4">
        <f>PROPER(TRIM(Raw_Data!G205))</f>
        <v/>
      </c>
      <c r="H205" s="4">
        <f>PROPER(TRIM(Raw_Data!H205))</f>
        <v/>
      </c>
      <c r="I205" s="4">
        <f>PROPER(TRIM(Raw_Data!I205))</f>
        <v/>
      </c>
      <c r="J205" s="4">
        <f>TRIM(Raw_Data!J205)</f>
        <v/>
      </c>
      <c r="K205" s="4">
        <f>Raw_Data!K205</f>
        <v/>
      </c>
      <c r="L205" s="4">
        <f>IF(TRIM(Raw_Data!L205)="","No Coupon",TRIM(Raw_Data!L205))</f>
        <v/>
      </c>
      <c r="M205" s="4">
        <f>PROPER(TRIM(Raw_Data!M205))</f>
        <v/>
      </c>
      <c r="N205" s="6">
        <f>ROUND(Raw_Data!N205,2)</f>
        <v/>
      </c>
      <c r="O205" s="7">
        <f>IF(COUNTIF($A$2:$A$1201,A205)&gt;1,"DUPLICATE","Unique")</f>
        <v/>
      </c>
      <c r="P205" s="7">
        <f>IF(COUNTIF($J$2:$J$1201,J205)&gt;1,"DUPLICATE","Unique")</f>
        <v/>
      </c>
      <c r="Q205" s="4">
        <f>IF(TRIM(Raw_Data!L205)="","Yes","No")</f>
        <v/>
      </c>
      <c r="R205" s="4">
        <f>IF(ISNUMBER(B205),"Valid","INVALID")</f>
        <v/>
      </c>
    </row>
    <row r="206">
      <c r="A206" s="4">
        <f>TRIM(Raw_Data!A206)</f>
        <v/>
      </c>
      <c r="B206" s="5">
        <f>Raw_Data!B206</f>
        <v/>
      </c>
      <c r="C206" s="4">
        <f>TRIM(Raw_Data!C206)</f>
        <v/>
      </c>
      <c r="D206" s="4">
        <f>PROPER(TRIM(Raw_Data!D206))</f>
        <v/>
      </c>
      <c r="E206" s="4">
        <f>Raw_Data!E206</f>
        <v/>
      </c>
      <c r="F206" s="6">
        <f>ROUND(Raw_Data!F206,2)</f>
        <v/>
      </c>
      <c r="G206" s="4">
        <f>PROPER(TRIM(Raw_Data!G206))</f>
        <v/>
      </c>
      <c r="H206" s="4">
        <f>PROPER(TRIM(Raw_Data!H206))</f>
        <v/>
      </c>
      <c r="I206" s="4">
        <f>PROPER(TRIM(Raw_Data!I206))</f>
        <v/>
      </c>
      <c r="J206" s="4">
        <f>TRIM(Raw_Data!J206)</f>
        <v/>
      </c>
      <c r="K206" s="4">
        <f>Raw_Data!K206</f>
        <v/>
      </c>
      <c r="L206" s="4">
        <f>IF(TRIM(Raw_Data!L206)="","No Coupon",TRIM(Raw_Data!L206))</f>
        <v/>
      </c>
      <c r="M206" s="4">
        <f>PROPER(TRIM(Raw_Data!M206))</f>
        <v/>
      </c>
      <c r="N206" s="6">
        <f>ROUND(Raw_Data!N206,2)</f>
        <v/>
      </c>
      <c r="O206" s="7">
        <f>IF(COUNTIF($A$2:$A$1201,A206)&gt;1,"DUPLICATE","Unique")</f>
        <v/>
      </c>
      <c r="P206" s="7">
        <f>IF(COUNTIF($J$2:$J$1201,J206)&gt;1,"DUPLICATE","Unique")</f>
        <v/>
      </c>
      <c r="Q206" s="4">
        <f>IF(TRIM(Raw_Data!L206)="","Yes","No")</f>
        <v/>
      </c>
      <c r="R206" s="4">
        <f>IF(ISNUMBER(B206),"Valid","INVALID")</f>
        <v/>
      </c>
    </row>
    <row r="207">
      <c r="A207" s="4">
        <f>TRIM(Raw_Data!A207)</f>
        <v/>
      </c>
      <c r="B207" s="5">
        <f>Raw_Data!B207</f>
        <v/>
      </c>
      <c r="C207" s="4">
        <f>TRIM(Raw_Data!C207)</f>
        <v/>
      </c>
      <c r="D207" s="4">
        <f>PROPER(TRIM(Raw_Data!D207))</f>
        <v/>
      </c>
      <c r="E207" s="4">
        <f>Raw_Data!E207</f>
        <v/>
      </c>
      <c r="F207" s="6">
        <f>ROUND(Raw_Data!F207,2)</f>
        <v/>
      </c>
      <c r="G207" s="4">
        <f>PROPER(TRIM(Raw_Data!G207))</f>
        <v/>
      </c>
      <c r="H207" s="4">
        <f>PROPER(TRIM(Raw_Data!H207))</f>
        <v/>
      </c>
      <c r="I207" s="4">
        <f>PROPER(TRIM(Raw_Data!I207))</f>
        <v/>
      </c>
      <c r="J207" s="4">
        <f>TRIM(Raw_Data!J207)</f>
        <v/>
      </c>
      <c r="K207" s="4">
        <f>Raw_Data!K207</f>
        <v/>
      </c>
      <c r="L207" s="4">
        <f>IF(TRIM(Raw_Data!L207)="","No Coupon",TRIM(Raw_Data!L207))</f>
        <v/>
      </c>
      <c r="M207" s="4">
        <f>PROPER(TRIM(Raw_Data!M207))</f>
        <v/>
      </c>
      <c r="N207" s="6">
        <f>ROUND(Raw_Data!N207,2)</f>
        <v/>
      </c>
      <c r="O207" s="7">
        <f>IF(COUNTIF($A$2:$A$1201,A207)&gt;1,"DUPLICATE","Unique")</f>
        <v/>
      </c>
      <c r="P207" s="7">
        <f>IF(COUNTIF($J$2:$J$1201,J207)&gt;1,"DUPLICATE","Unique")</f>
        <v/>
      </c>
      <c r="Q207" s="4">
        <f>IF(TRIM(Raw_Data!L207)="","Yes","No")</f>
        <v/>
      </c>
      <c r="R207" s="4">
        <f>IF(ISNUMBER(B207),"Valid","INVALID")</f>
        <v/>
      </c>
    </row>
    <row r="208">
      <c r="A208" s="4">
        <f>TRIM(Raw_Data!A208)</f>
        <v/>
      </c>
      <c r="B208" s="5">
        <f>Raw_Data!B208</f>
        <v/>
      </c>
      <c r="C208" s="4">
        <f>TRIM(Raw_Data!C208)</f>
        <v/>
      </c>
      <c r="D208" s="4">
        <f>PROPER(TRIM(Raw_Data!D208))</f>
        <v/>
      </c>
      <c r="E208" s="4">
        <f>Raw_Data!E208</f>
        <v/>
      </c>
      <c r="F208" s="6">
        <f>ROUND(Raw_Data!F208,2)</f>
        <v/>
      </c>
      <c r="G208" s="4">
        <f>PROPER(TRIM(Raw_Data!G208))</f>
        <v/>
      </c>
      <c r="H208" s="4">
        <f>PROPER(TRIM(Raw_Data!H208))</f>
        <v/>
      </c>
      <c r="I208" s="4">
        <f>PROPER(TRIM(Raw_Data!I208))</f>
        <v/>
      </c>
      <c r="J208" s="4">
        <f>TRIM(Raw_Data!J208)</f>
        <v/>
      </c>
      <c r="K208" s="4">
        <f>Raw_Data!K208</f>
        <v/>
      </c>
      <c r="L208" s="4">
        <f>IF(TRIM(Raw_Data!L208)="","No Coupon",TRIM(Raw_Data!L208))</f>
        <v/>
      </c>
      <c r="M208" s="4">
        <f>PROPER(TRIM(Raw_Data!M208))</f>
        <v/>
      </c>
      <c r="N208" s="6">
        <f>ROUND(Raw_Data!N208,2)</f>
        <v/>
      </c>
      <c r="O208" s="7">
        <f>IF(COUNTIF($A$2:$A$1201,A208)&gt;1,"DUPLICATE","Unique")</f>
        <v/>
      </c>
      <c r="P208" s="7">
        <f>IF(COUNTIF($J$2:$J$1201,J208)&gt;1,"DUPLICATE","Unique")</f>
        <v/>
      </c>
      <c r="Q208" s="4">
        <f>IF(TRIM(Raw_Data!L208)="","Yes","No")</f>
        <v/>
      </c>
      <c r="R208" s="4">
        <f>IF(ISNUMBER(B208),"Valid","INVALID")</f>
        <v/>
      </c>
    </row>
    <row r="209">
      <c r="A209" s="4">
        <f>TRIM(Raw_Data!A209)</f>
        <v/>
      </c>
      <c r="B209" s="5">
        <f>Raw_Data!B209</f>
        <v/>
      </c>
      <c r="C209" s="4">
        <f>TRIM(Raw_Data!C209)</f>
        <v/>
      </c>
      <c r="D209" s="4">
        <f>PROPER(TRIM(Raw_Data!D209))</f>
        <v/>
      </c>
      <c r="E209" s="4">
        <f>Raw_Data!E209</f>
        <v/>
      </c>
      <c r="F209" s="6">
        <f>ROUND(Raw_Data!F209,2)</f>
        <v/>
      </c>
      <c r="G209" s="4">
        <f>PROPER(TRIM(Raw_Data!G209))</f>
        <v/>
      </c>
      <c r="H209" s="4">
        <f>PROPER(TRIM(Raw_Data!H209))</f>
        <v/>
      </c>
      <c r="I209" s="4">
        <f>PROPER(TRIM(Raw_Data!I209))</f>
        <v/>
      </c>
      <c r="J209" s="4">
        <f>TRIM(Raw_Data!J209)</f>
        <v/>
      </c>
      <c r="K209" s="4">
        <f>Raw_Data!K209</f>
        <v/>
      </c>
      <c r="L209" s="4">
        <f>IF(TRIM(Raw_Data!L209)="","No Coupon",TRIM(Raw_Data!L209))</f>
        <v/>
      </c>
      <c r="M209" s="4">
        <f>PROPER(TRIM(Raw_Data!M209))</f>
        <v/>
      </c>
      <c r="N209" s="6">
        <f>ROUND(Raw_Data!N209,2)</f>
        <v/>
      </c>
      <c r="O209" s="7">
        <f>IF(COUNTIF($A$2:$A$1201,A209)&gt;1,"DUPLICATE","Unique")</f>
        <v/>
      </c>
      <c r="P209" s="7">
        <f>IF(COUNTIF($J$2:$J$1201,J209)&gt;1,"DUPLICATE","Unique")</f>
        <v/>
      </c>
      <c r="Q209" s="4">
        <f>IF(TRIM(Raw_Data!L209)="","Yes","No")</f>
        <v/>
      </c>
      <c r="R209" s="4">
        <f>IF(ISNUMBER(B209),"Valid","INVALID")</f>
        <v/>
      </c>
    </row>
    <row r="210">
      <c r="A210" s="4">
        <f>TRIM(Raw_Data!A210)</f>
        <v/>
      </c>
      <c r="B210" s="5">
        <f>Raw_Data!B210</f>
        <v/>
      </c>
      <c r="C210" s="4">
        <f>TRIM(Raw_Data!C210)</f>
        <v/>
      </c>
      <c r="D210" s="4">
        <f>PROPER(TRIM(Raw_Data!D210))</f>
        <v/>
      </c>
      <c r="E210" s="4">
        <f>Raw_Data!E210</f>
        <v/>
      </c>
      <c r="F210" s="6">
        <f>ROUND(Raw_Data!F210,2)</f>
        <v/>
      </c>
      <c r="G210" s="4">
        <f>PROPER(TRIM(Raw_Data!G210))</f>
        <v/>
      </c>
      <c r="H210" s="4">
        <f>PROPER(TRIM(Raw_Data!H210))</f>
        <v/>
      </c>
      <c r="I210" s="4">
        <f>PROPER(TRIM(Raw_Data!I210))</f>
        <v/>
      </c>
      <c r="J210" s="4">
        <f>TRIM(Raw_Data!J210)</f>
        <v/>
      </c>
      <c r="K210" s="4">
        <f>Raw_Data!K210</f>
        <v/>
      </c>
      <c r="L210" s="4">
        <f>IF(TRIM(Raw_Data!L210)="","No Coupon",TRIM(Raw_Data!L210))</f>
        <v/>
      </c>
      <c r="M210" s="4">
        <f>PROPER(TRIM(Raw_Data!M210))</f>
        <v/>
      </c>
      <c r="N210" s="6">
        <f>ROUND(Raw_Data!N210,2)</f>
        <v/>
      </c>
      <c r="O210" s="7">
        <f>IF(COUNTIF($A$2:$A$1201,A210)&gt;1,"DUPLICATE","Unique")</f>
        <v/>
      </c>
      <c r="P210" s="7">
        <f>IF(COUNTIF($J$2:$J$1201,J210)&gt;1,"DUPLICATE","Unique")</f>
        <v/>
      </c>
      <c r="Q210" s="4">
        <f>IF(TRIM(Raw_Data!L210)="","Yes","No")</f>
        <v/>
      </c>
      <c r="R210" s="4">
        <f>IF(ISNUMBER(B210),"Valid","INVALID")</f>
        <v/>
      </c>
    </row>
    <row r="211">
      <c r="A211" s="4">
        <f>TRIM(Raw_Data!A211)</f>
        <v/>
      </c>
      <c r="B211" s="5">
        <f>Raw_Data!B211</f>
        <v/>
      </c>
      <c r="C211" s="4">
        <f>TRIM(Raw_Data!C211)</f>
        <v/>
      </c>
      <c r="D211" s="4">
        <f>PROPER(TRIM(Raw_Data!D211))</f>
        <v/>
      </c>
      <c r="E211" s="4">
        <f>Raw_Data!E211</f>
        <v/>
      </c>
      <c r="F211" s="6">
        <f>ROUND(Raw_Data!F211,2)</f>
        <v/>
      </c>
      <c r="G211" s="4">
        <f>PROPER(TRIM(Raw_Data!G211))</f>
        <v/>
      </c>
      <c r="H211" s="4">
        <f>PROPER(TRIM(Raw_Data!H211))</f>
        <v/>
      </c>
      <c r="I211" s="4">
        <f>PROPER(TRIM(Raw_Data!I211))</f>
        <v/>
      </c>
      <c r="J211" s="4">
        <f>TRIM(Raw_Data!J211)</f>
        <v/>
      </c>
      <c r="K211" s="4">
        <f>Raw_Data!K211</f>
        <v/>
      </c>
      <c r="L211" s="4">
        <f>IF(TRIM(Raw_Data!L211)="","No Coupon",TRIM(Raw_Data!L211))</f>
        <v/>
      </c>
      <c r="M211" s="4">
        <f>PROPER(TRIM(Raw_Data!M211))</f>
        <v/>
      </c>
      <c r="N211" s="6">
        <f>ROUND(Raw_Data!N211,2)</f>
        <v/>
      </c>
      <c r="O211" s="7">
        <f>IF(COUNTIF($A$2:$A$1201,A211)&gt;1,"DUPLICATE","Unique")</f>
        <v/>
      </c>
      <c r="P211" s="7">
        <f>IF(COUNTIF($J$2:$J$1201,J211)&gt;1,"DUPLICATE","Unique")</f>
        <v/>
      </c>
      <c r="Q211" s="4">
        <f>IF(TRIM(Raw_Data!L211)="","Yes","No")</f>
        <v/>
      </c>
      <c r="R211" s="4">
        <f>IF(ISNUMBER(B211),"Valid","INVALID")</f>
        <v/>
      </c>
    </row>
    <row r="212">
      <c r="A212" s="4">
        <f>TRIM(Raw_Data!A212)</f>
        <v/>
      </c>
      <c r="B212" s="5">
        <f>Raw_Data!B212</f>
        <v/>
      </c>
      <c r="C212" s="4">
        <f>TRIM(Raw_Data!C212)</f>
        <v/>
      </c>
      <c r="D212" s="4">
        <f>PROPER(TRIM(Raw_Data!D212))</f>
        <v/>
      </c>
      <c r="E212" s="4">
        <f>Raw_Data!E212</f>
        <v/>
      </c>
      <c r="F212" s="6">
        <f>ROUND(Raw_Data!F212,2)</f>
        <v/>
      </c>
      <c r="G212" s="4">
        <f>PROPER(TRIM(Raw_Data!G212))</f>
        <v/>
      </c>
      <c r="H212" s="4">
        <f>PROPER(TRIM(Raw_Data!H212))</f>
        <v/>
      </c>
      <c r="I212" s="4">
        <f>PROPER(TRIM(Raw_Data!I212))</f>
        <v/>
      </c>
      <c r="J212" s="4">
        <f>TRIM(Raw_Data!J212)</f>
        <v/>
      </c>
      <c r="K212" s="4">
        <f>Raw_Data!K212</f>
        <v/>
      </c>
      <c r="L212" s="4">
        <f>IF(TRIM(Raw_Data!L212)="","No Coupon",TRIM(Raw_Data!L212))</f>
        <v/>
      </c>
      <c r="M212" s="4">
        <f>PROPER(TRIM(Raw_Data!M212))</f>
        <v/>
      </c>
      <c r="N212" s="6">
        <f>ROUND(Raw_Data!N212,2)</f>
        <v/>
      </c>
      <c r="O212" s="7">
        <f>IF(COUNTIF($A$2:$A$1201,A212)&gt;1,"DUPLICATE","Unique")</f>
        <v/>
      </c>
      <c r="P212" s="7">
        <f>IF(COUNTIF($J$2:$J$1201,J212)&gt;1,"DUPLICATE","Unique")</f>
        <v/>
      </c>
      <c r="Q212" s="4">
        <f>IF(TRIM(Raw_Data!L212)="","Yes","No")</f>
        <v/>
      </c>
      <c r="R212" s="4">
        <f>IF(ISNUMBER(B212),"Valid","INVALID")</f>
        <v/>
      </c>
    </row>
    <row r="213">
      <c r="A213" s="4">
        <f>TRIM(Raw_Data!A213)</f>
        <v/>
      </c>
      <c r="B213" s="5">
        <f>Raw_Data!B213</f>
        <v/>
      </c>
      <c r="C213" s="4">
        <f>TRIM(Raw_Data!C213)</f>
        <v/>
      </c>
      <c r="D213" s="4">
        <f>PROPER(TRIM(Raw_Data!D213))</f>
        <v/>
      </c>
      <c r="E213" s="4">
        <f>Raw_Data!E213</f>
        <v/>
      </c>
      <c r="F213" s="6">
        <f>ROUND(Raw_Data!F213,2)</f>
        <v/>
      </c>
      <c r="G213" s="4">
        <f>PROPER(TRIM(Raw_Data!G213))</f>
        <v/>
      </c>
      <c r="H213" s="4">
        <f>PROPER(TRIM(Raw_Data!H213))</f>
        <v/>
      </c>
      <c r="I213" s="4">
        <f>PROPER(TRIM(Raw_Data!I213))</f>
        <v/>
      </c>
      <c r="J213" s="4">
        <f>TRIM(Raw_Data!J213)</f>
        <v/>
      </c>
      <c r="K213" s="4">
        <f>Raw_Data!K213</f>
        <v/>
      </c>
      <c r="L213" s="4">
        <f>IF(TRIM(Raw_Data!L213)="","No Coupon",TRIM(Raw_Data!L213))</f>
        <v/>
      </c>
      <c r="M213" s="4">
        <f>PROPER(TRIM(Raw_Data!M213))</f>
        <v/>
      </c>
      <c r="N213" s="6">
        <f>ROUND(Raw_Data!N213,2)</f>
        <v/>
      </c>
      <c r="O213" s="7">
        <f>IF(COUNTIF($A$2:$A$1201,A213)&gt;1,"DUPLICATE","Unique")</f>
        <v/>
      </c>
      <c r="P213" s="7">
        <f>IF(COUNTIF($J$2:$J$1201,J213)&gt;1,"DUPLICATE","Unique")</f>
        <v/>
      </c>
      <c r="Q213" s="4">
        <f>IF(TRIM(Raw_Data!L213)="","Yes","No")</f>
        <v/>
      </c>
      <c r="R213" s="4">
        <f>IF(ISNUMBER(B213),"Valid","INVALID")</f>
        <v/>
      </c>
    </row>
    <row r="214">
      <c r="A214" s="4">
        <f>TRIM(Raw_Data!A214)</f>
        <v/>
      </c>
      <c r="B214" s="5">
        <f>Raw_Data!B214</f>
        <v/>
      </c>
      <c r="C214" s="4">
        <f>TRIM(Raw_Data!C214)</f>
        <v/>
      </c>
      <c r="D214" s="4">
        <f>PROPER(TRIM(Raw_Data!D214))</f>
        <v/>
      </c>
      <c r="E214" s="4">
        <f>Raw_Data!E214</f>
        <v/>
      </c>
      <c r="F214" s="6">
        <f>ROUND(Raw_Data!F214,2)</f>
        <v/>
      </c>
      <c r="G214" s="4">
        <f>PROPER(TRIM(Raw_Data!G214))</f>
        <v/>
      </c>
      <c r="H214" s="4">
        <f>PROPER(TRIM(Raw_Data!H214))</f>
        <v/>
      </c>
      <c r="I214" s="4">
        <f>PROPER(TRIM(Raw_Data!I214))</f>
        <v/>
      </c>
      <c r="J214" s="4">
        <f>TRIM(Raw_Data!J214)</f>
        <v/>
      </c>
      <c r="K214" s="4">
        <f>Raw_Data!K214</f>
        <v/>
      </c>
      <c r="L214" s="4">
        <f>IF(TRIM(Raw_Data!L214)="","No Coupon",TRIM(Raw_Data!L214))</f>
        <v/>
      </c>
      <c r="M214" s="4">
        <f>PROPER(TRIM(Raw_Data!M214))</f>
        <v/>
      </c>
      <c r="N214" s="6">
        <f>ROUND(Raw_Data!N214,2)</f>
        <v/>
      </c>
      <c r="O214" s="7">
        <f>IF(COUNTIF($A$2:$A$1201,A214)&gt;1,"DUPLICATE","Unique")</f>
        <v/>
      </c>
      <c r="P214" s="7">
        <f>IF(COUNTIF($J$2:$J$1201,J214)&gt;1,"DUPLICATE","Unique")</f>
        <v/>
      </c>
      <c r="Q214" s="4">
        <f>IF(TRIM(Raw_Data!L214)="","Yes","No")</f>
        <v/>
      </c>
      <c r="R214" s="4">
        <f>IF(ISNUMBER(B214),"Valid","INVALID")</f>
        <v/>
      </c>
    </row>
    <row r="215">
      <c r="A215" s="4">
        <f>TRIM(Raw_Data!A215)</f>
        <v/>
      </c>
      <c r="B215" s="5">
        <f>Raw_Data!B215</f>
        <v/>
      </c>
      <c r="C215" s="4">
        <f>TRIM(Raw_Data!C215)</f>
        <v/>
      </c>
      <c r="D215" s="4">
        <f>PROPER(TRIM(Raw_Data!D215))</f>
        <v/>
      </c>
      <c r="E215" s="4">
        <f>Raw_Data!E215</f>
        <v/>
      </c>
      <c r="F215" s="6">
        <f>ROUND(Raw_Data!F215,2)</f>
        <v/>
      </c>
      <c r="G215" s="4">
        <f>PROPER(TRIM(Raw_Data!G215))</f>
        <v/>
      </c>
      <c r="H215" s="4">
        <f>PROPER(TRIM(Raw_Data!H215))</f>
        <v/>
      </c>
      <c r="I215" s="4">
        <f>PROPER(TRIM(Raw_Data!I215))</f>
        <v/>
      </c>
      <c r="J215" s="4">
        <f>TRIM(Raw_Data!J215)</f>
        <v/>
      </c>
      <c r="K215" s="4">
        <f>Raw_Data!K215</f>
        <v/>
      </c>
      <c r="L215" s="4">
        <f>IF(TRIM(Raw_Data!L215)="","No Coupon",TRIM(Raw_Data!L215))</f>
        <v/>
      </c>
      <c r="M215" s="4">
        <f>PROPER(TRIM(Raw_Data!M215))</f>
        <v/>
      </c>
      <c r="N215" s="6">
        <f>ROUND(Raw_Data!N215,2)</f>
        <v/>
      </c>
      <c r="O215" s="7">
        <f>IF(COUNTIF($A$2:$A$1201,A215)&gt;1,"DUPLICATE","Unique")</f>
        <v/>
      </c>
      <c r="P215" s="7">
        <f>IF(COUNTIF($J$2:$J$1201,J215)&gt;1,"DUPLICATE","Unique")</f>
        <v/>
      </c>
      <c r="Q215" s="4">
        <f>IF(TRIM(Raw_Data!L215)="","Yes","No")</f>
        <v/>
      </c>
      <c r="R215" s="4">
        <f>IF(ISNUMBER(B215),"Valid","INVALID")</f>
        <v/>
      </c>
    </row>
    <row r="216">
      <c r="A216" s="4">
        <f>TRIM(Raw_Data!A216)</f>
        <v/>
      </c>
      <c r="B216" s="5">
        <f>Raw_Data!B216</f>
        <v/>
      </c>
      <c r="C216" s="4">
        <f>TRIM(Raw_Data!C216)</f>
        <v/>
      </c>
      <c r="D216" s="4">
        <f>PROPER(TRIM(Raw_Data!D216))</f>
        <v/>
      </c>
      <c r="E216" s="4">
        <f>Raw_Data!E216</f>
        <v/>
      </c>
      <c r="F216" s="6">
        <f>ROUND(Raw_Data!F216,2)</f>
        <v/>
      </c>
      <c r="G216" s="4">
        <f>PROPER(TRIM(Raw_Data!G216))</f>
        <v/>
      </c>
      <c r="H216" s="4">
        <f>PROPER(TRIM(Raw_Data!H216))</f>
        <v/>
      </c>
      <c r="I216" s="4">
        <f>PROPER(TRIM(Raw_Data!I216))</f>
        <v/>
      </c>
      <c r="J216" s="4">
        <f>TRIM(Raw_Data!J216)</f>
        <v/>
      </c>
      <c r="K216" s="4">
        <f>Raw_Data!K216</f>
        <v/>
      </c>
      <c r="L216" s="4">
        <f>IF(TRIM(Raw_Data!L216)="","No Coupon",TRIM(Raw_Data!L216))</f>
        <v/>
      </c>
      <c r="M216" s="4">
        <f>PROPER(TRIM(Raw_Data!M216))</f>
        <v/>
      </c>
      <c r="N216" s="6">
        <f>ROUND(Raw_Data!N216,2)</f>
        <v/>
      </c>
      <c r="O216" s="7">
        <f>IF(COUNTIF($A$2:$A$1201,A216)&gt;1,"DUPLICATE","Unique")</f>
        <v/>
      </c>
      <c r="P216" s="7">
        <f>IF(COUNTIF($J$2:$J$1201,J216)&gt;1,"DUPLICATE","Unique")</f>
        <v/>
      </c>
      <c r="Q216" s="4">
        <f>IF(TRIM(Raw_Data!L216)="","Yes","No")</f>
        <v/>
      </c>
      <c r="R216" s="4">
        <f>IF(ISNUMBER(B216),"Valid","INVALID")</f>
        <v/>
      </c>
    </row>
    <row r="217">
      <c r="A217" s="4">
        <f>TRIM(Raw_Data!A217)</f>
        <v/>
      </c>
      <c r="B217" s="5">
        <f>Raw_Data!B217</f>
        <v/>
      </c>
      <c r="C217" s="4">
        <f>TRIM(Raw_Data!C217)</f>
        <v/>
      </c>
      <c r="D217" s="4">
        <f>PROPER(TRIM(Raw_Data!D217))</f>
        <v/>
      </c>
      <c r="E217" s="4">
        <f>Raw_Data!E217</f>
        <v/>
      </c>
      <c r="F217" s="6">
        <f>ROUND(Raw_Data!F217,2)</f>
        <v/>
      </c>
      <c r="G217" s="4">
        <f>PROPER(TRIM(Raw_Data!G217))</f>
        <v/>
      </c>
      <c r="H217" s="4">
        <f>PROPER(TRIM(Raw_Data!H217))</f>
        <v/>
      </c>
      <c r="I217" s="4">
        <f>PROPER(TRIM(Raw_Data!I217))</f>
        <v/>
      </c>
      <c r="J217" s="4">
        <f>TRIM(Raw_Data!J217)</f>
        <v/>
      </c>
      <c r="K217" s="4">
        <f>Raw_Data!K217</f>
        <v/>
      </c>
      <c r="L217" s="4">
        <f>IF(TRIM(Raw_Data!L217)="","No Coupon",TRIM(Raw_Data!L217))</f>
        <v/>
      </c>
      <c r="M217" s="4">
        <f>PROPER(TRIM(Raw_Data!M217))</f>
        <v/>
      </c>
      <c r="N217" s="6">
        <f>ROUND(Raw_Data!N217,2)</f>
        <v/>
      </c>
      <c r="O217" s="7">
        <f>IF(COUNTIF($A$2:$A$1201,A217)&gt;1,"DUPLICATE","Unique")</f>
        <v/>
      </c>
      <c r="P217" s="7">
        <f>IF(COUNTIF($J$2:$J$1201,J217)&gt;1,"DUPLICATE","Unique")</f>
        <v/>
      </c>
      <c r="Q217" s="4">
        <f>IF(TRIM(Raw_Data!L217)="","Yes","No")</f>
        <v/>
      </c>
      <c r="R217" s="4">
        <f>IF(ISNUMBER(B217),"Valid","INVALID")</f>
        <v/>
      </c>
    </row>
    <row r="218">
      <c r="A218" s="4">
        <f>TRIM(Raw_Data!A218)</f>
        <v/>
      </c>
      <c r="B218" s="5">
        <f>Raw_Data!B218</f>
        <v/>
      </c>
      <c r="C218" s="4">
        <f>TRIM(Raw_Data!C218)</f>
        <v/>
      </c>
      <c r="D218" s="4">
        <f>PROPER(TRIM(Raw_Data!D218))</f>
        <v/>
      </c>
      <c r="E218" s="4">
        <f>Raw_Data!E218</f>
        <v/>
      </c>
      <c r="F218" s="6">
        <f>ROUND(Raw_Data!F218,2)</f>
        <v/>
      </c>
      <c r="G218" s="4">
        <f>PROPER(TRIM(Raw_Data!G218))</f>
        <v/>
      </c>
      <c r="H218" s="4">
        <f>PROPER(TRIM(Raw_Data!H218))</f>
        <v/>
      </c>
      <c r="I218" s="4">
        <f>PROPER(TRIM(Raw_Data!I218))</f>
        <v/>
      </c>
      <c r="J218" s="4">
        <f>TRIM(Raw_Data!J218)</f>
        <v/>
      </c>
      <c r="K218" s="4">
        <f>Raw_Data!K218</f>
        <v/>
      </c>
      <c r="L218" s="4">
        <f>IF(TRIM(Raw_Data!L218)="","No Coupon",TRIM(Raw_Data!L218))</f>
        <v/>
      </c>
      <c r="M218" s="4">
        <f>PROPER(TRIM(Raw_Data!M218))</f>
        <v/>
      </c>
      <c r="N218" s="6">
        <f>ROUND(Raw_Data!N218,2)</f>
        <v/>
      </c>
      <c r="O218" s="7">
        <f>IF(COUNTIF($A$2:$A$1201,A218)&gt;1,"DUPLICATE","Unique")</f>
        <v/>
      </c>
      <c r="P218" s="7">
        <f>IF(COUNTIF($J$2:$J$1201,J218)&gt;1,"DUPLICATE","Unique")</f>
        <v/>
      </c>
      <c r="Q218" s="4">
        <f>IF(TRIM(Raw_Data!L218)="","Yes","No")</f>
        <v/>
      </c>
      <c r="R218" s="4">
        <f>IF(ISNUMBER(B218),"Valid","INVALID")</f>
        <v/>
      </c>
    </row>
    <row r="219">
      <c r="A219" s="4">
        <f>TRIM(Raw_Data!A219)</f>
        <v/>
      </c>
      <c r="B219" s="5">
        <f>Raw_Data!B219</f>
        <v/>
      </c>
      <c r="C219" s="4">
        <f>TRIM(Raw_Data!C219)</f>
        <v/>
      </c>
      <c r="D219" s="4">
        <f>PROPER(TRIM(Raw_Data!D219))</f>
        <v/>
      </c>
      <c r="E219" s="4">
        <f>Raw_Data!E219</f>
        <v/>
      </c>
      <c r="F219" s="6">
        <f>ROUND(Raw_Data!F219,2)</f>
        <v/>
      </c>
      <c r="G219" s="4">
        <f>PROPER(TRIM(Raw_Data!G219))</f>
        <v/>
      </c>
      <c r="H219" s="4">
        <f>PROPER(TRIM(Raw_Data!H219))</f>
        <v/>
      </c>
      <c r="I219" s="4">
        <f>PROPER(TRIM(Raw_Data!I219))</f>
        <v/>
      </c>
      <c r="J219" s="4">
        <f>TRIM(Raw_Data!J219)</f>
        <v/>
      </c>
      <c r="K219" s="4">
        <f>Raw_Data!K219</f>
        <v/>
      </c>
      <c r="L219" s="4">
        <f>IF(TRIM(Raw_Data!L219)="","No Coupon",TRIM(Raw_Data!L219))</f>
        <v/>
      </c>
      <c r="M219" s="4">
        <f>PROPER(TRIM(Raw_Data!M219))</f>
        <v/>
      </c>
      <c r="N219" s="6">
        <f>ROUND(Raw_Data!N219,2)</f>
        <v/>
      </c>
      <c r="O219" s="7">
        <f>IF(COUNTIF($A$2:$A$1201,A219)&gt;1,"DUPLICATE","Unique")</f>
        <v/>
      </c>
      <c r="P219" s="7">
        <f>IF(COUNTIF($J$2:$J$1201,J219)&gt;1,"DUPLICATE","Unique")</f>
        <v/>
      </c>
      <c r="Q219" s="4">
        <f>IF(TRIM(Raw_Data!L219)="","Yes","No")</f>
        <v/>
      </c>
      <c r="R219" s="4">
        <f>IF(ISNUMBER(B219),"Valid","INVALID")</f>
        <v/>
      </c>
    </row>
    <row r="220">
      <c r="A220" s="4">
        <f>TRIM(Raw_Data!A220)</f>
        <v/>
      </c>
      <c r="B220" s="5">
        <f>Raw_Data!B220</f>
        <v/>
      </c>
      <c r="C220" s="4">
        <f>TRIM(Raw_Data!C220)</f>
        <v/>
      </c>
      <c r="D220" s="4">
        <f>PROPER(TRIM(Raw_Data!D220))</f>
        <v/>
      </c>
      <c r="E220" s="4">
        <f>Raw_Data!E220</f>
        <v/>
      </c>
      <c r="F220" s="6">
        <f>ROUND(Raw_Data!F220,2)</f>
        <v/>
      </c>
      <c r="G220" s="4">
        <f>PROPER(TRIM(Raw_Data!G220))</f>
        <v/>
      </c>
      <c r="H220" s="4">
        <f>PROPER(TRIM(Raw_Data!H220))</f>
        <v/>
      </c>
      <c r="I220" s="4">
        <f>PROPER(TRIM(Raw_Data!I220))</f>
        <v/>
      </c>
      <c r="J220" s="4">
        <f>TRIM(Raw_Data!J220)</f>
        <v/>
      </c>
      <c r="K220" s="4">
        <f>Raw_Data!K220</f>
        <v/>
      </c>
      <c r="L220" s="4">
        <f>IF(TRIM(Raw_Data!L220)="","No Coupon",TRIM(Raw_Data!L220))</f>
        <v/>
      </c>
      <c r="M220" s="4">
        <f>PROPER(TRIM(Raw_Data!M220))</f>
        <v/>
      </c>
      <c r="N220" s="6">
        <f>ROUND(Raw_Data!N220,2)</f>
        <v/>
      </c>
      <c r="O220" s="7">
        <f>IF(COUNTIF($A$2:$A$1201,A220)&gt;1,"DUPLICATE","Unique")</f>
        <v/>
      </c>
      <c r="P220" s="7">
        <f>IF(COUNTIF($J$2:$J$1201,J220)&gt;1,"DUPLICATE","Unique")</f>
        <v/>
      </c>
      <c r="Q220" s="4">
        <f>IF(TRIM(Raw_Data!L220)="","Yes","No")</f>
        <v/>
      </c>
      <c r="R220" s="4">
        <f>IF(ISNUMBER(B220),"Valid","INVALID")</f>
        <v/>
      </c>
    </row>
    <row r="221">
      <c r="A221" s="4">
        <f>TRIM(Raw_Data!A221)</f>
        <v/>
      </c>
      <c r="B221" s="5">
        <f>Raw_Data!B221</f>
        <v/>
      </c>
      <c r="C221" s="4">
        <f>TRIM(Raw_Data!C221)</f>
        <v/>
      </c>
      <c r="D221" s="4">
        <f>PROPER(TRIM(Raw_Data!D221))</f>
        <v/>
      </c>
      <c r="E221" s="4">
        <f>Raw_Data!E221</f>
        <v/>
      </c>
      <c r="F221" s="6">
        <f>ROUND(Raw_Data!F221,2)</f>
        <v/>
      </c>
      <c r="G221" s="4">
        <f>PROPER(TRIM(Raw_Data!G221))</f>
        <v/>
      </c>
      <c r="H221" s="4">
        <f>PROPER(TRIM(Raw_Data!H221))</f>
        <v/>
      </c>
      <c r="I221" s="4">
        <f>PROPER(TRIM(Raw_Data!I221))</f>
        <v/>
      </c>
      <c r="J221" s="4">
        <f>TRIM(Raw_Data!J221)</f>
        <v/>
      </c>
      <c r="K221" s="4">
        <f>Raw_Data!K221</f>
        <v/>
      </c>
      <c r="L221" s="4">
        <f>IF(TRIM(Raw_Data!L221)="","No Coupon",TRIM(Raw_Data!L221))</f>
        <v/>
      </c>
      <c r="M221" s="4">
        <f>PROPER(TRIM(Raw_Data!M221))</f>
        <v/>
      </c>
      <c r="N221" s="6">
        <f>ROUND(Raw_Data!N221,2)</f>
        <v/>
      </c>
      <c r="O221" s="7">
        <f>IF(COUNTIF($A$2:$A$1201,A221)&gt;1,"DUPLICATE","Unique")</f>
        <v/>
      </c>
      <c r="P221" s="7">
        <f>IF(COUNTIF($J$2:$J$1201,J221)&gt;1,"DUPLICATE","Unique")</f>
        <v/>
      </c>
      <c r="Q221" s="4">
        <f>IF(TRIM(Raw_Data!L221)="","Yes","No")</f>
        <v/>
      </c>
      <c r="R221" s="4">
        <f>IF(ISNUMBER(B221),"Valid","INVALID")</f>
        <v/>
      </c>
    </row>
    <row r="222">
      <c r="A222" s="4">
        <f>TRIM(Raw_Data!A222)</f>
        <v/>
      </c>
      <c r="B222" s="5">
        <f>Raw_Data!B222</f>
        <v/>
      </c>
      <c r="C222" s="4">
        <f>TRIM(Raw_Data!C222)</f>
        <v/>
      </c>
      <c r="D222" s="4">
        <f>PROPER(TRIM(Raw_Data!D222))</f>
        <v/>
      </c>
      <c r="E222" s="4">
        <f>Raw_Data!E222</f>
        <v/>
      </c>
      <c r="F222" s="6">
        <f>ROUND(Raw_Data!F222,2)</f>
        <v/>
      </c>
      <c r="G222" s="4">
        <f>PROPER(TRIM(Raw_Data!G222))</f>
        <v/>
      </c>
      <c r="H222" s="4">
        <f>PROPER(TRIM(Raw_Data!H222))</f>
        <v/>
      </c>
      <c r="I222" s="4">
        <f>PROPER(TRIM(Raw_Data!I222))</f>
        <v/>
      </c>
      <c r="J222" s="4">
        <f>TRIM(Raw_Data!J222)</f>
        <v/>
      </c>
      <c r="K222" s="4">
        <f>Raw_Data!K222</f>
        <v/>
      </c>
      <c r="L222" s="4">
        <f>IF(TRIM(Raw_Data!L222)="","No Coupon",TRIM(Raw_Data!L222))</f>
        <v/>
      </c>
      <c r="M222" s="4">
        <f>PROPER(TRIM(Raw_Data!M222))</f>
        <v/>
      </c>
      <c r="N222" s="6">
        <f>ROUND(Raw_Data!N222,2)</f>
        <v/>
      </c>
      <c r="O222" s="7">
        <f>IF(COUNTIF($A$2:$A$1201,A222)&gt;1,"DUPLICATE","Unique")</f>
        <v/>
      </c>
      <c r="P222" s="7">
        <f>IF(COUNTIF($J$2:$J$1201,J222)&gt;1,"DUPLICATE","Unique")</f>
        <v/>
      </c>
      <c r="Q222" s="4">
        <f>IF(TRIM(Raw_Data!L222)="","Yes","No")</f>
        <v/>
      </c>
      <c r="R222" s="4">
        <f>IF(ISNUMBER(B222),"Valid","INVALID")</f>
        <v/>
      </c>
    </row>
    <row r="223">
      <c r="A223" s="4">
        <f>TRIM(Raw_Data!A223)</f>
        <v/>
      </c>
      <c r="B223" s="5">
        <f>Raw_Data!B223</f>
        <v/>
      </c>
      <c r="C223" s="4">
        <f>TRIM(Raw_Data!C223)</f>
        <v/>
      </c>
      <c r="D223" s="4">
        <f>PROPER(TRIM(Raw_Data!D223))</f>
        <v/>
      </c>
      <c r="E223" s="4">
        <f>Raw_Data!E223</f>
        <v/>
      </c>
      <c r="F223" s="6">
        <f>ROUND(Raw_Data!F223,2)</f>
        <v/>
      </c>
      <c r="G223" s="4">
        <f>PROPER(TRIM(Raw_Data!G223))</f>
        <v/>
      </c>
      <c r="H223" s="4">
        <f>PROPER(TRIM(Raw_Data!H223))</f>
        <v/>
      </c>
      <c r="I223" s="4">
        <f>PROPER(TRIM(Raw_Data!I223))</f>
        <v/>
      </c>
      <c r="J223" s="4">
        <f>TRIM(Raw_Data!J223)</f>
        <v/>
      </c>
      <c r="K223" s="4">
        <f>Raw_Data!K223</f>
        <v/>
      </c>
      <c r="L223" s="4">
        <f>IF(TRIM(Raw_Data!L223)="","No Coupon",TRIM(Raw_Data!L223))</f>
        <v/>
      </c>
      <c r="M223" s="4">
        <f>PROPER(TRIM(Raw_Data!M223))</f>
        <v/>
      </c>
      <c r="N223" s="6">
        <f>ROUND(Raw_Data!N223,2)</f>
        <v/>
      </c>
      <c r="O223" s="7">
        <f>IF(COUNTIF($A$2:$A$1201,A223)&gt;1,"DUPLICATE","Unique")</f>
        <v/>
      </c>
      <c r="P223" s="7">
        <f>IF(COUNTIF($J$2:$J$1201,J223)&gt;1,"DUPLICATE","Unique")</f>
        <v/>
      </c>
      <c r="Q223" s="4">
        <f>IF(TRIM(Raw_Data!L223)="","Yes","No")</f>
        <v/>
      </c>
      <c r="R223" s="4">
        <f>IF(ISNUMBER(B223),"Valid","INVALID")</f>
        <v/>
      </c>
    </row>
    <row r="224">
      <c r="A224" s="4">
        <f>TRIM(Raw_Data!A224)</f>
        <v/>
      </c>
      <c r="B224" s="5">
        <f>Raw_Data!B224</f>
        <v/>
      </c>
      <c r="C224" s="4">
        <f>TRIM(Raw_Data!C224)</f>
        <v/>
      </c>
      <c r="D224" s="4">
        <f>PROPER(TRIM(Raw_Data!D224))</f>
        <v/>
      </c>
      <c r="E224" s="4">
        <f>Raw_Data!E224</f>
        <v/>
      </c>
      <c r="F224" s="6">
        <f>ROUND(Raw_Data!F224,2)</f>
        <v/>
      </c>
      <c r="G224" s="4">
        <f>PROPER(TRIM(Raw_Data!G224))</f>
        <v/>
      </c>
      <c r="H224" s="4">
        <f>PROPER(TRIM(Raw_Data!H224))</f>
        <v/>
      </c>
      <c r="I224" s="4">
        <f>PROPER(TRIM(Raw_Data!I224))</f>
        <v/>
      </c>
      <c r="J224" s="4">
        <f>TRIM(Raw_Data!J224)</f>
        <v/>
      </c>
      <c r="K224" s="4">
        <f>Raw_Data!K224</f>
        <v/>
      </c>
      <c r="L224" s="4">
        <f>IF(TRIM(Raw_Data!L224)="","No Coupon",TRIM(Raw_Data!L224))</f>
        <v/>
      </c>
      <c r="M224" s="4">
        <f>PROPER(TRIM(Raw_Data!M224))</f>
        <v/>
      </c>
      <c r="N224" s="6">
        <f>ROUND(Raw_Data!N224,2)</f>
        <v/>
      </c>
      <c r="O224" s="7">
        <f>IF(COUNTIF($A$2:$A$1201,A224)&gt;1,"DUPLICATE","Unique")</f>
        <v/>
      </c>
      <c r="P224" s="7">
        <f>IF(COUNTIF($J$2:$J$1201,J224)&gt;1,"DUPLICATE","Unique")</f>
        <v/>
      </c>
      <c r="Q224" s="4">
        <f>IF(TRIM(Raw_Data!L224)="","Yes","No")</f>
        <v/>
      </c>
      <c r="R224" s="4">
        <f>IF(ISNUMBER(B224),"Valid","INVALID")</f>
        <v/>
      </c>
    </row>
    <row r="225">
      <c r="A225" s="4">
        <f>TRIM(Raw_Data!A225)</f>
        <v/>
      </c>
      <c r="B225" s="5">
        <f>Raw_Data!B225</f>
        <v/>
      </c>
      <c r="C225" s="4">
        <f>TRIM(Raw_Data!C225)</f>
        <v/>
      </c>
      <c r="D225" s="4">
        <f>PROPER(TRIM(Raw_Data!D225))</f>
        <v/>
      </c>
      <c r="E225" s="4">
        <f>Raw_Data!E225</f>
        <v/>
      </c>
      <c r="F225" s="6">
        <f>ROUND(Raw_Data!F225,2)</f>
        <v/>
      </c>
      <c r="G225" s="4">
        <f>PROPER(TRIM(Raw_Data!G225))</f>
        <v/>
      </c>
      <c r="H225" s="4">
        <f>PROPER(TRIM(Raw_Data!H225))</f>
        <v/>
      </c>
      <c r="I225" s="4">
        <f>PROPER(TRIM(Raw_Data!I225))</f>
        <v/>
      </c>
      <c r="J225" s="4">
        <f>TRIM(Raw_Data!J225)</f>
        <v/>
      </c>
      <c r="K225" s="4">
        <f>Raw_Data!K225</f>
        <v/>
      </c>
      <c r="L225" s="4">
        <f>IF(TRIM(Raw_Data!L225)="","No Coupon",TRIM(Raw_Data!L225))</f>
        <v/>
      </c>
      <c r="M225" s="4">
        <f>PROPER(TRIM(Raw_Data!M225))</f>
        <v/>
      </c>
      <c r="N225" s="6">
        <f>ROUND(Raw_Data!N225,2)</f>
        <v/>
      </c>
      <c r="O225" s="7">
        <f>IF(COUNTIF($A$2:$A$1201,A225)&gt;1,"DUPLICATE","Unique")</f>
        <v/>
      </c>
      <c r="P225" s="7">
        <f>IF(COUNTIF($J$2:$J$1201,J225)&gt;1,"DUPLICATE","Unique")</f>
        <v/>
      </c>
      <c r="Q225" s="4">
        <f>IF(TRIM(Raw_Data!L225)="","Yes","No")</f>
        <v/>
      </c>
      <c r="R225" s="4">
        <f>IF(ISNUMBER(B225),"Valid","INVALID")</f>
        <v/>
      </c>
    </row>
    <row r="226">
      <c r="A226" s="4">
        <f>TRIM(Raw_Data!A226)</f>
        <v/>
      </c>
      <c r="B226" s="5">
        <f>Raw_Data!B226</f>
        <v/>
      </c>
      <c r="C226" s="4">
        <f>TRIM(Raw_Data!C226)</f>
        <v/>
      </c>
      <c r="D226" s="4">
        <f>PROPER(TRIM(Raw_Data!D226))</f>
        <v/>
      </c>
      <c r="E226" s="4">
        <f>Raw_Data!E226</f>
        <v/>
      </c>
      <c r="F226" s="6">
        <f>ROUND(Raw_Data!F226,2)</f>
        <v/>
      </c>
      <c r="G226" s="4">
        <f>PROPER(TRIM(Raw_Data!G226))</f>
        <v/>
      </c>
      <c r="H226" s="4">
        <f>PROPER(TRIM(Raw_Data!H226))</f>
        <v/>
      </c>
      <c r="I226" s="4">
        <f>PROPER(TRIM(Raw_Data!I226))</f>
        <v/>
      </c>
      <c r="J226" s="4">
        <f>TRIM(Raw_Data!J226)</f>
        <v/>
      </c>
      <c r="K226" s="4">
        <f>Raw_Data!K226</f>
        <v/>
      </c>
      <c r="L226" s="4">
        <f>IF(TRIM(Raw_Data!L226)="","No Coupon",TRIM(Raw_Data!L226))</f>
        <v/>
      </c>
      <c r="M226" s="4">
        <f>PROPER(TRIM(Raw_Data!M226))</f>
        <v/>
      </c>
      <c r="N226" s="6">
        <f>ROUND(Raw_Data!N226,2)</f>
        <v/>
      </c>
      <c r="O226" s="7">
        <f>IF(COUNTIF($A$2:$A$1201,A226)&gt;1,"DUPLICATE","Unique")</f>
        <v/>
      </c>
      <c r="P226" s="7">
        <f>IF(COUNTIF($J$2:$J$1201,J226)&gt;1,"DUPLICATE","Unique")</f>
        <v/>
      </c>
      <c r="Q226" s="4">
        <f>IF(TRIM(Raw_Data!L226)="","Yes","No")</f>
        <v/>
      </c>
      <c r="R226" s="4">
        <f>IF(ISNUMBER(B226),"Valid","INVALID")</f>
        <v/>
      </c>
    </row>
    <row r="227">
      <c r="A227" s="4">
        <f>TRIM(Raw_Data!A227)</f>
        <v/>
      </c>
      <c r="B227" s="5">
        <f>Raw_Data!B227</f>
        <v/>
      </c>
      <c r="C227" s="4">
        <f>TRIM(Raw_Data!C227)</f>
        <v/>
      </c>
      <c r="D227" s="4">
        <f>PROPER(TRIM(Raw_Data!D227))</f>
        <v/>
      </c>
      <c r="E227" s="4">
        <f>Raw_Data!E227</f>
        <v/>
      </c>
      <c r="F227" s="6">
        <f>ROUND(Raw_Data!F227,2)</f>
        <v/>
      </c>
      <c r="G227" s="4">
        <f>PROPER(TRIM(Raw_Data!G227))</f>
        <v/>
      </c>
      <c r="H227" s="4">
        <f>PROPER(TRIM(Raw_Data!H227))</f>
        <v/>
      </c>
      <c r="I227" s="4">
        <f>PROPER(TRIM(Raw_Data!I227))</f>
        <v/>
      </c>
      <c r="J227" s="4">
        <f>TRIM(Raw_Data!J227)</f>
        <v/>
      </c>
      <c r="K227" s="4">
        <f>Raw_Data!K227</f>
        <v/>
      </c>
      <c r="L227" s="4">
        <f>IF(TRIM(Raw_Data!L227)="","No Coupon",TRIM(Raw_Data!L227))</f>
        <v/>
      </c>
      <c r="M227" s="4">
        <f>PROPER(TRIM(Raw_Data!M227))</f>
        <v/>
      </c>
      <c r="N227" s="6">
        <f>ROUND(Raw_Data!N227,2)</f>
        <v/>
      </c>
      <c r="O227" s="7">
        <f>IF(COUNTIF($A$2:$A$1201,A227)&gt;1,"DUPLICATE","Unique")</f>
        <v/>
      </c>
      <c r="P227" s="7">
        <f>IF(COUNTIF($J$2:$J$1201,J227)&gt;1,"DUPLICATE","Unique")</f>
        <v/>
      </c>
      <c r="Q227" s="4">
        <f>IF(TRIM(Raw_Data!L227)="","Yes","No")</f>
        <v/>
      </c>
      <c r="R227" s="4">
        <f>IF(ISNUMBER(B227),"Valid","INVALID")</f>
        <v/>
      </c>
    </row>
    <row r="228">
      <c r="A228" s="4">
        <f>TRIM(Raw_Data!A228)</f>
        <v/>
      </c>
      <c r="B228" s="5">
        <f>Raw_Data!B228</f>
        <v/>
      </c>
      <c r="C228" s="4">
        <f>TRIM(Raw_Data!C228)</f>
        <v/>
      </c>
      <c r="D228" s="4">
        <f>PROPER(TRIM(Raw_Data!D228))</f>
        <v/>
      </c>
      <c r="E228" s="4">
        <f>Raw_Data!E228</f>
        <v/>
      </c>
      <c r="F228" s="6">
        <f>ROUND(Raw_Data!F228,2)</f>
        <v/>
      </c>
      <c r="G228" s="4">
        <f>PROPER(TRIM(Raw_Data!G228))</f>
        <v/>
      </c>
      <c r="H228" s="4">
        <f>PROPER(TRIM(Raw_Data!H228))</f>
        <v/>
      </c>
      <c r="I228" s="4">
        <f>PROPER(TRIM(Raw_Data!I228))</f>
        <v/>
      </c>
      <c r="J228" s="4">
        <f>TRIM(Raw_Data!J228)</f>
        <v/>
      </c>
      <c r="K228" s="4">
        <f>Raw_Data!K228</f>
        <v/>
      </c>
      <c r="L228" s="4">
        <f>IF(TRIM(Raw_Data!L228)="","No Coupon",TRIM(Raw_Data!L228))</f>
        <v/>
      </c>
      <c r="M228" s="4">
        <f>PROPER(TRIM(Raw_Data!M228))</f>
        <v/>
      </c>
      <c r="N228" s="6">
        <f>ROUND(Raw_Data!N228,2)</f>
        <v/>
      </c>
      <c r="O228" s="7">
        <f>IF(COUNTIF($A$2:$A$1201,A228)&gt;1,"DUPLICATE","Unique")</f>
        <v/>
      </c>
      <c r="P228" s="7">
        <f>IF(COUNTIF($J$2:$J$1201,J228)&gt;1,"DUPLICATE","Unique")</f>
        <v/>
      </c>
      <c r="Q228" s="4">
        <f>IF(TRIM(Raw_Data!L228)="","Yes","No")</f>
        <v/>
      </c>
      <c r="R228" s="4">
        <f>IF(ISNUMBER(B228),"Valid","INVALID")</f>
        <v/>
      </c>
    </row>
    <row r="229">
      <c r="A229" s="4">
        <f>TRIM(Raw_Data!A229)</f>
        <v/>
      </c>
      <c r="B229" s="5">
        <f>Raw_Data!B229</f>
        <v/>
      </c>
      <c r="C229" s="4">
        <f>TRIM(Raw_Data!C229)</f>
        <v/>
      </c>
      <c r="D229" s="4">
        <f>PROPER(TRIM(Raw_Data!D229))</f>
        <v/>
      </c>
      <c r="E229" s="4">
        <f>Raw_Data!E229</f>
        <v/>
      </c>
      <c r="F229" s="6">
        <f>ROUND(Raw_Data!F229,2)</f>
        <v/>
      </c>
      <c r="G229" s="4">
        <f>PROPER(TRIM(Raw_Data!G229))</f>
        <v/>
      </c>
      <c r="H229" s="4">
        <f>PROPER(TRIM(Raw_Data!H229))</f>
        <v/>
      </c>
      <c r="I229" s="4">
        <f>PROPER(TRIM(Raw_Data!I229))</f>
        <v/>
      </c>
      <c r="J229" s="4">
        <f>TRIM(Raw_Data!J229)</f>
        <v/>
      </c>
      <c r="K229" s="4">
        <f>Raw_Data!K229</f>
        <v/>
      </c>
      <c r="L229" s="4">
        <f>IF(TRIM(Raw_Data!L229)="","No Coupon",TRIM(Raw_Data!L229))</f>
        <v/>
      </c>
      <c r="M229" s="4">
        <f>PROPER(TRIM(Raw_Data!M229))</f>
        <v/>
      </c>
      <c r="N229" s="6">
        <f>ROUND(Raw_Data!N229,2)</f>
        <v/>
      </c>
      <c r="O229" s="7">
        <f>IF(COUNTIF($A$2:$A$1201,A229)&gt;1,"DUPLICATE","Unique")</f>
        <v/>
      </c>
      <c r="P229" s="7">
        <f>IF(COUNTIF($J$2:$J$1201,J229)&gt;1,"DUPLICATE","Unique")</f>
        <v/>
      </c>
      <c r="Q229" s="4">
        <f>IF(TRIM(Raw_Data!L229)="","Yes","No")</f>
        <v/>
      </c>
      <c r="R229" s="4">
        <f>IF(ISNUMBER(B229),"Valid","INVALID")</f>
        <v/>
      </c>
    </row>
    <row r="230">
      <c r="A230" s="4">
        <f>TRIM(Raw_Data!A230)</f>
        <v/>
      </c>
      <c r="B230" s="5">
        <f>Raw_Data!B230</f>
        <v/>
      </c>
      <c r="C230" s="4">
        <f>TRIM(Raw_Data!C230)</f>
        <v/>
      </c>
      <c r="D230" s="4">
        <f>PROPER(TRIM(Raw_Data!D230))</f>
        <v/>
      </c>
      <c r="E230" s="4">
        <f>Raw_Data!E230</f>
        <v/>
      </c>
      <c r="F230" s="6">
        <f>ROUND(Raw_Data!F230,2)</f>
        <v/>
      </c>
      <c r="G230" s="4">
        <f>PROPER(TRIM(Raw_Data!G230))</f>
        <v/>
      </c>
      <c r="H230" s="4">
        <f>PROPER(TRIM(Raw_Data!H230))</f>
        <v/>
      </c>
      <c r="I230" s="4">
        <f>PROPER(TRIM(Raw_Data!I230))</f>
        <v/>
      </c>
      <c r="J230" s="4">
        <f>TRIM(Raw_Data!J230)</f>
        <v/>
      </c>
      <c r="K230" s="4">
        <f>Raw_Data!K230</f>
        <v/>
      </c>
      <c r="L230" s="4">
        <f>IF(TRIM(Raw_Data!L230)="","No Coupon",TRIM(Raw_Data!L230))</f>
        <v/>
      </c>
      <c r="M230" s="4">
        <f>PROPER(TRIM(Raw_Data!M230))</f>
        <v/>
      </c>
      <c r="N230" s="6">
        <f>ROUND(Raw_Data!N230,2)</f>
        <v/>
      </c>
      <c r="O230" s="7">
        <f>IF(COUNTIF($A$2:$A$1201,A230)&gt;1,"DUPLICATE","Unique")</f>
        <v/>
      </c>
      <c r="P230" s="7">
        <f>IF(COUNTIF($J$2:$J$1201,J230)&gt;1,"DUPLICATE","Unique")</f>
        <v/>
      </c>
      <c r="Q230" s="4">
        <f>IF(TRIM(Raw_Data!L230)="","Yes","No")</f>
        <v/>
      </c>
      <c r="R230" s="4">
        <f>IF(ISNUMBER(B230),"Valid","INVALID")</f>
        <v/>
      </c>
    </row>
    <row r="231">
      <c r="A231" s="4">
        <f>TRIM(Raw_Data!A231)</f>
        <v/>
      </c>
      <c r="B231" s="5">
        <f>Raw_Data!B231</f>
        <v/>
      </c>
      <c r="C231" s="4">
        <f>TRIM(Raw_Data!C231)</f>
        <v/>
      </c>
      <c r="D231" s="4">
        <f>PROPER(TRIM(Raw_Data!D231))</f>
        <v/>
      </c>
      <c r="E231" s="4">
        <f>Raw_Data!E231</f>
        <v/>
      </c>
      <c r="F231" s="6">
        <f>ROUND(Raw_Data!F231,2)</f>
        <v/>
      </c>
      <c r="G231" s="4">
        <f>PROPER(TRIM(Raw_Data!G231))</f>
        <v/>
      </c>
      <c r="H231" s="4">
        <f>PROPER(TRIM(Raw_Data!H231))</f>
        <v/>
      </c>
      <c r="I231" s="4">
        <f>PROPER(TRIM(Raw_Data!I231))</f>
        <v/>
      </c>
      <c r="J231" s="4">
        <f>TRIM(Raw_Data!J231)</f>
        <v/>
      </c>
      <c r="K231" s="4">
        <f>Raw_Data!K231</f>
        <v/>
      </c>
      <c r="L231" s="4">
        <f>IF(TRIM(Raw_Data!L231)="","No Coupon",TRIM(Raw_Data!L231))</f>
        <v/>
      </c>
      <c r="M231" s="4">
        <f>PROPER(TRIM(Raw_Data!M231))</f>
        <v/>
      </c>
      <c r="N231" s="6">
        <f>ROUND(Raw_Data!N231,2)</f>
        <v/>
      </c>
      <c r="O231" s="7">
        <f>IF(COUNTIF($A$2:$A$1201,A231)&gt;1,"DUPLICATE","Unique")</f>
        <v/>
      </c>
      <c r="P231" s="7">
        <f>IF(COUNTIF($J$2:$J$1201,J231)&gt;1,"DUPLICATE","Unique")</f>
        <v/>
      </c>
      <c r="Q231" s="4">
        <f>IF(TRIM(Raw_Data!L231)="","Yes","No")</f>
        <v/>
      </c>
      <c r="R231" s="4">
        <f>IF(ISNUMBER(B231),"Valid","INVALID")</f>
        <v/>
      </c>
    </row>
    <row r="232">
      <c r="A232" s="4">
        <f>TRIM(Raw_Data!A232)</f>
        <v/>
      </c>
      <c r="B232" s="5">
        <f>Raw_Data!B232</f>
        <v/>
      </c>
      <c r="C232" s="4">
        <f>TRIM(Raw_Data!C232)</f>
        <v/>
      </c>
      <c r="D232" s="4">
        <f>PROPER(TRIM(Raw_Data!D232))</f>
        <v/>
      </c>
      <c r="E232" s="4">
        <f>Raw_Data!E232</f>
        <v/>
      </c>
      <c r="F232" s="6">
        <f>ROUND(Raw_Data!F232,2)</f>
        <v/>
      </c>
      <c r="G232" s="4">
        <f>PROPER(TRIM(Raw_Data!G232))</f>
        <v/>
      </c>
      <c r="H232" s="4">
        <f>PROPER(TRIM(Raw_Data!H232))</f>
        <v/>
      </c>
      <c r="I232" s="4">
        <f>PROPER(TRIM(Raw_Data!I232))</f>
        <v/>
      </c>
      <c r="J232" s="4">
        <f>TRIM(Raw_Data!J232)</f>
        <v/>
      </c>
      <c r="K232" s="4">
        <f>Raw_Data!K232</f>
        <v/>
      </c>
      <c r="L232" s="4">
        <f>IF(TRIM(Raw_Data!L232)="","No Coupon",TRIM(Raw_Data!L232))</f>
        <v/>
      </c>
      <c r="M232" s="4">
        <f>PROPER(TRIM(Raw_Data!M232))</f>
        <v/>
      </c>
      <c r="N232" s="6">
        <f>ROUND(Raw_Data!N232,2)</f>
        <v/>
      </c>
      <c r="O232" s="7">
        <f>IF(COUNTIF($A$2:$A$1201,A232)&gt;1,"DUPLICATE","Unique")</f>
        <v/>
      </c>
      <c r="P232" s="7">
        <f>IF(COUNTIF($J$2:$J$1201,J232)&gt;1,"DUPLICATE","Unique")</f>
        <v/>
      </c>
      <c r="Q232" s="4">
        <f>IF(TRIM(Raw_Data!L232)="","Yes","No")</f>
        <v/>
      </c>
      <c r="R232" s="4">
        <f>IF(ISNUMBER(B232),"Valid","INVALID")</f>
        <v/>
      </c>
    </row>
    <row r="233">
      <c r="A233" s="4">
        <f>TRIM(Raw_Data!A233)</f>
        <v/>
      </c>
      <c r="B233" s="5">
        <f>Raw_Data!B233</f>
        <v/>
      </c>
      <c r="C233" s="4">
        <f>TRIM(Raw_Data!C233)</f>
        <v/>
      </c>
      <c r="D233" s="4">
        <f>PROPER(TRIM(Raw_Data!D233))</f>
        <v/>
      </c>
      <c r="E233" s="4">
        <f>Raw_Data!E233</f>
        <v/>
      </c>
      <c r="F233" s="6">
        <f>ROUND(Raw_Data!F233,2)</f>
        <v/>
      </c>
      <c r="G233" s="4">
        <f>PROPER(TRIM(Raw_Data!G233))</f>
        <v/>
      </c>
      <c r="H233" s="4">
        <f>PROPER(TRIM(Raw_Data!H233))</f>
        <v/>
      </c>
      <c r="I233" s="4">
        <f>PROPER(TRIM(Raw_Data!I233))</f>
        <v/>
      </c>
      <c r="J233" s="4">
        <f>TRIM(Raw_Data!J233)</f>
        <v/>
      </c>
      <c r="K233" s="4">
        <f>Raw_Data!K233</f>
        <v/>
      </c>
      <c r="L233" s="4">
        <f>IF(TRIM(Raw_Data!L233)="","No Coupon",TRIM(Raw_Data!L233))</f>
        <v/>
      </c>
      <c r="M233" s="4">
        <f>PROPER(TRIM(Raw_Data!M233))</f>
        <v/>
      </c>
      <c r="N233" s="6">
        <f>ROUND(Raw_Data!N233,2)</f>
        <v/>
      </c>
      <c r="O233" s="7">
        <f>IF(COUNTIF($A$2:$A$1201,A233)&gt;1,"DUPLICATE","Unique")</f>
        <v/>
      </c>
      <c r="P233" s="7">
        <f>IF(COUNTIF($J$2:$J$1201,J233)&gt;1,"DUPLICATE","Unique")</f>
        <v/>
      </c>
      <c r="Q233" s="4">
        <f>IF(TRIM(Raw_Data!L233)="","Yes","No")</f>
        <v/>
      </c>
      <c r="R233" s="4">
        <f>IF(ISNUMBER(B233),"Valid","INVALID")</f>
        <v/>
      </c>
    </row>
    <row r="234">
      <c r="A234" s="4">
        <f>TRIM(Raw_Data!A234)</f>
        <v/>
      </c>
      <c r="B234" s="5">
        <f>Raw_Data!B234</f>
        <v/>
      </c>
      <c r="C234" s="4">
        <f>TRIM(Raw_Data!C234)</f>
        <v/>
      </c>
      <c r="D234" s="4">
        <f>PROPER(TRIM(Raw_Data!D234))</f>
        <v/>
      </c>
      <c r="E234" s="4">
        <f>Raw_Data!E234</f>
        <v/>
      </c>
      <c r="F234" s="6">
        <f>ROUND(Raw_Data!F234,2)</f>
        <v/>
      </c>
      <c r="G234" s="4">
        <f>PROPER(TRIM(Raw_Data!G234))</f>
        <v/>
      </c>
      <c r="H234" s="4">
        <f>PROPER(TRIM(Raw_Data!H234))</f>
        <v/>
      </c>
      <c r="I234" s="4">
        <f>PROPER(TRIM(Raw_Data!I234))</f>
        <v/>
      </c>
      <c r="J234" s="4">
        <f>TRIM(Raw_Data!J234)</f>
        <v/>
      </c>
      <c r="K234" s="4">
        <f>Raw_Data!K234</f>
        <v/>
      </c>
      <c r="L234" s="4">
        <f>IF(TRIM(Raw_Data!L234)="","No Coupon",TRIM(Raw_Data!L234))</f>
        <v/>
      </c>
      <c r="M234" s="4">
        <f>PROPER(TRIM(Raw_Data!M234))</f>
        <v/>
      </c>
      <c r="N234" s="6">
        <f>ROUND(Raw_Data!N234,2)</f>
        <v/>
      </c>
      <c r="O234" s="7">
        <f>IF(COUNTIF($A$2:$A$1201,A234)&gt;1,"DUPLICATE","Unique")</f>
        <v/>
      </c>
      <c r="P234" s="7">
        <f>IF(COUNTIF($J$2:$J$1201,J234)&gt;1,"DUPLICATE","Unique")</f>
        <v/>
      </c>
      <c r="Q234" s="4">
        <f>IF(TRIM(Raw_Data!L234)="","Yes","No")</f>
        <v/>
      </c>
      <c r="R234" s="4">
        <f>IF(ISNUMBER(B234),"Valid","INVALID")</f>
        <v/>
      </c>
    </row>
    <row r="235">
      <c r="A235" s="4">
        <f>TRIM(Raw_Data!A235)</f>
        <v/>
      </c>
      <c r="B235" s="5">
        <f>Raw_Data!B235</f>
        <v/>
      </c>
      <c r="C235" s="4">
        <f>TRIM(Raw_Data!C235)</f>
        <v/>
      </c>
      <c r="D235" s="4">
        <f>PROPER(TRIM(Raw_Data!D235))</f>
        <v/>
      </c>
      <c r="E235" s="4">
        <f>Raw_Data!E235</f>
        <v/>
      </c>
      <c r="F235" s="6">
        <f>ROUND(Raw_Data!F235,2)</f>
        <v/>
      </c>
      <c r="G235" s="4">
        <f>PROPER(TRIM(Raw_Data!G235))</f>
        <v/>
      </c>
      <c r="H235" s="4">
        <f>PROPER(TRIM(Raw_Data!H235))</f>
        <v/>
      </c>
      <c r="I235" s="4">
        <f>PROPER(TRIM(Raw_Data!I235))</f>
        <v/>
      </c>
      <c r="J235" s="4">
        <f>TRIM(Raw_Data!J235)</f>
        <v/>
      </c>
      <c r="K235" s="4">
        <f>Raw_Data!K235</f>
        <v/>
      </c>
      <c r="L235" s="4">
        <f>IF(TRIM(Raw_Data!L235)="","No Coupon",TRIM(Raw_Data!L235))</f>
        <v/>
      </c>
      <c r="M235" s="4">
        <f>PROPER(TRIM(Raw_Data!M235))</f>
        <v/>
      </c>
      <c r="N235" s="6">
        <f>ROUND(Raw_Data!N235,2)</f>
        <v/>
      </c>
      <c r="O235" s="7">
        <f>IF(COUNTIF($A$2:$A$1201,A235)&gt;1,"DUPLICATE","Unique")</f>
        <v/>
      </c>
      <c r="P235" s="7">
        <f>IF(COUNTIF($J$2:$J$1201,J235)&gt;1,"DUPLICATE","Unique")</f>
        <v/>
      </c>
      <c r="Q235" s="4">
        <f>IF(TRIM(Raw_Data!L235)="","Yes","No")</f>
        <v/>
      </c>
      <c r="R235" s="4">
        <f>IF(ISNUMBER(B235),"Valid","INVALID")</f>
        <v/>
      </c>
    </row>
    <row r="236">
      <c r="A236" s="4">
        <f>TRIM(Raw_Data!A236)</f>
        <v/>
      </c>
      <c r="B236" s="5">
        <f>Raw_Data!B236</f>
        <v/>
      </c>
      <c r="C236" s="4">
        <f>TRIM(Raw_Data!C236)</f>
        <v/>
      </c>
      <c r="D236" s="4">
        <f>PROPER(TRIM(Raw_Data!D236))</f>
        <v/>
      </c>
      <c r="E236" s="4">
        <f>Raw_Data!E236</f>
        <v/>
      </c>
      <c r="F236" s="6">
        <f>ROUND(Raw_Data!F236,2)</f>
        <v/>
      </c>
      <c r="G236" s="4">
        <f>PROPER(TRIM(Raw_Data!G236))</f>
        <v/>
      </c>
      <c r="H236" s="4">
        <f>PROPER(TRIM(Raw_Data!H236))</f>
        <v/>
      </c>
      <c r="I236" s="4">
        <f>PROPER(TRIM(Raw_Data!I236))</f>
        <v/>
      </c>
      <c r="J236" s="4">
        <f>TRIM(Raw_Data!J236)</f>
        <v/>
      </c>
      <c r="K236" s="4">
        <f>Raw_Data!K236</f>
        <v/>
      </c>
      <c r="L236" s="4">
        <f>IF(TRIM(Raw_Data!L236)="","No Coupon",TRIM(Raw_Data!L236))</f>
        <v/>
      </c>
      <c r="M236" s="4">
        <f>PROPER(TRIM(Raw_Data!M236))</f>
        <v/>
      </c>
      <c r="N236" s="6">
        <f>ROUND(Raw_Data!N236,2)</f>
        <v/>
      </c>
      <c r="O236" s="7">
        <f>IF(COUNTIF($A$2:$A$1201,A236)&gt;1,"DUPLICATE","Unique")</f>
        <v/>
      </c>
      <c r="P236" s="7">
        <f>IF(COUNTIF($J$2:$J$1201,J236)&gt;1,"DUPLICATE","Unique")</f>
        <v/>
      </c>
      <c r="Q236" s="4">
        <f>IF(TRIM(Raw_Data!L236)="","Yes","No")</f>
        <v/>
      </c>
      <c r="R236" s="4">
        <f>IF(ISNUMBER(B236),"Valid","INVALID")</f>
        <v/>
      </c>
    </row>
    <row r="237">
      <c r="A237" s="4">
        <f>TRIM(Raw_Data!A237)</f>
        <v/>
      </c>
      <c r="B237" s="5">
        <f>Raw_Data!B237</f>
        <v/>
      </c>
      <c r="C237" s="4">
        <f>TRIM(Raw_Data!C237)</f>
        <v/>
      </c>
      <c r="D237" s="4">
        <f>PROPER(TRIM(Raw_Data!D237))</f>
        <v/>
      </c>
      <c r="E237" s="4">
        <f>Raw_Data!E237</f>
        <v/>
      </c>
      <c r="F237" s="6">
        <f>ROUND(Raw_Data!F237,2)</f>
        <v/>
      </c>
      <c r="G237" s="4">
        <f>PROPER(TRIM(Raw_Data!G237))</f>
        <v/>
      </c>
      <c r="H237" s="4">
        <f>PROPER(TRIM(Raw_Data!H237))</f>
        <v/>
      </c>
      <c r="I237" s="4">
        <f>PROPER(TRIM(Raw_Data!I237))</f>
        <v/>
      </c>
      <c r="J237" s="4">
        <f>TRIM(Raw_Data!J237)</f>
        <v/>
      </c>
      <c r="K237" s="4">
        <f>Raw_Data!K237</f>
        <v/>
      </c>
      <c r="L237" s="4">
        <f>IF(TRIM(Raw_Data!L237)="","No Coupon",TRIM(Raw_Data!L237))</f>
        <v/>
      </c>
      <c r="M237" s="4">
        <f>PROPER(TRIM(Raw_Data!M237))</f>
        <v/>
      </c>
      <c r="N237" s="6">
        <f>ROUND(Raw_Data!N237,2)</f>
        <v/>
      </c>
      <c r="O237" s="7">
        <f>IF(COUNTIF($A$2:$A$1201,A237)&gt;1,"DUPLICATE","Unique")</f>
        <v/>
      </c>
      <c r="P237" s="7">
        <f>IF(COUNTIF($J$2:$J$1201,J237)&gt;1,"DUPLICATE","Unique")</f>
        <v/>
      </c>
      <c r="Q237" s="4">
        <f>IF(TRIM(Raw_Data!L237)="","Yes","No")</f>
        <v/>
      </c>
      <c r="R237" s="4">
        <f>IF(ISNUMBER(B237),"Valid","INVALID")</f>
        <v/>
      </c>
    </row>
    <row r="238">
      <c r="A238" s="4">
        <f>TRIM(Raw_Data!A238)</f>
        <v/>
      </c>
      <c r="B238" s="5">
        <f>Raw_Data!B238</f>
        <v/>
      </c>
      <c r="C238" s="4">
        <f>TRIM(Raw_Data!C238)</f>
        <v/>
      </c>
      <c r="D238" s="4">
        <f>PROPER(TRIM(Raw_Data!D238))</f>
        <v/>
      </c>
      <c r="E238" s="4">
        <f>Raw_Data!E238</f>
        <v/>
      </c>
      <c r="F238" s="6">
        <f>ROUND(Raw_Data!F238,2)</f>
        <v/>
      </c>
      <c r="G238" s="4">
        <f>PROPER(TRIM(Raw_Data!G238))</f>
        <v/>
      </c>
      <c r="H238" s="4">
        <f>PROPER(TRIM(Raw_Data!H238))</f>
        <v/>
      </c>
      <c r="I238" s="4">
        <f>PROPER(TRIM(Raw_Data!I238))</f>
        <v/>
      </c>
      <c r="J238" s="4">
        <f>TRIM(Raw_Data!J238)</f>
        <v/>
      </c>
      <c r="K238" s="4">
        <f>Raw_Data!K238</f>
        <v/>
      </c>
      <c r="L238" s="4">
        <f>IF(TRIM(Raw_Data!L238)="","No Coupon",TRIM(Raw_Data!L238))</f>
        <v/>
      </c>
      <c r="M238" s="4">
        <f>PROPER(TRIM(Raw_Data!M238))</f>
        <v/>
      </c>
      <c r="N238" s="6">
        <f>ROUND(Raw_Data!N238,2)</f>
        <v/>
      </c>
      <c r="O238" s="7">
        <f>IF(COUNTIF($A$2:$A$1201,A238)&gt;1,"DUPLICATE","Unique")</f>
        <v/>
      </c>
      <c r="P238" s="7">
        <f>IF(COUNTIF($J$2:$J$1201,J238)&gt;1,"DUPLICATE","Unique")</f>
        <v/>
      </c>
      <c r="Q238" s="4">
        <f>IF(TRIM(Raw_Data!L238)="","Yes","No")</f>
        <v/>
      </c>
      <c r="R238" s="4">
        <f>IF(ISNUMBER(B238),"Valid","INVALID")</f>
        <v/>
      </c>
    </row>
    <row r="239">
      <c r="A239" s="4">
        <f>TRIM(Raw_Data!A239)</f>
        <v/>
      </c>
      <c r="B239" s="5">
        <f>Raw_Data!B239</f>
        <v/>
      </c>
      <c r="C239" s="4">
        <f>TRIM(Raw_Data!C239)</f>
        <v/>
      </c>
      <c r="D239" s="4">
        <f>PROPER(TRIM(Raw_Data!D239))</f>
        <v/>
      </c>
      <c r="E239" s="4">
        <f>Raw_Data!E239</f>
        <v/>
      </c>
      <c r="F239" s="6">
        <f>ROUND(Raw_Data!F239,2)</f>
        <v/>
      </c>
      <c r="G239" s="4">
        <f>PROPER(TRIM(Raw_Data!G239))</f>
        <v/>
      </c>
      <c r="H239" s="4">
        <f>PROPER(TRIM(Raw_Data!H239))</f>
        <v/>
      </c>
      <c r="I239" s="4">
        <f>PROPER(TRIM(Raw_Data!I239))</f>
        <v/>
      </c>
      <c r="J239" s="4">
        <f>TRIM(Raw_Data!J239)</f>
        <v/>
      </c>
      <c r="K239" s="4">
        <f>Raw_Data!K239</f>
        <v/>
      </c>
      <c r="L239" s="4">
        <f>IF(TRIM(Raw_Data!L239)="","No Coupon",TRIM(Raw_Data!L239))</f>
        <v/>
      </c>
      <c r="M239" s="4">
        <f>PROPER(TRIM(Raw_Data!M239))</f>
        <v/>
      </c>
      <c r="N239" s="6">
        <f>ROUND(Raw_Data!N239,2)</f>
        <v/>
      </c>
      <c r="O239" s="7">
        <f>IF(COUNTIF($A$2:$A$1201,A239)&gt;1,"DUPLICATE","Unique")</f>
        <v/>
      </c>
      <c r="P239" s="7">
        <f>IF(COUNTIF($J$2:$J$1201,J239)&gt;1,"DUPLICATE","Unique")</f>
        <v/>
      </c>
      <c r="Q239" s="4">
        <f>IF(TRIM(Raw_Data!L239)="","Yes","No")</f>
        <v/>
      </c>
      <c r="R239" s="4">
        <f>IF(ISNUMBER(B239),"Valid","INVALID")</f>
        <v/>
      </c>
    </row>
    <row r="240">
      <c r="A240" s="4">
        <f>TRIM(Raw_Data!A240)</f>
        <v/>
      </c>
      <c r="B240" s="5">
        <f>Raw_Data!B240</f>
        <v/>
      </c>
      <c r="C240" s="4">
        <f>TRIM(Raw_Data!C240)</f>
        <v/>
      </c>
      <c r="D240" s="4">
        <f>PROPER(TRIM(Raw_Data!D240))</f>
        <v/>
      </c>
      <c r="E240" s="4">
        <f>Raw_Data!E240</f>
        <v/>
      </c>
      <c r="F240" s="6">
        <f>ROUND(Raw_Data!F240,2)</f>
        <v/>
      </c>
      <c r="G240" s="4">
        <f>PROPER(TRIM(Raw_Data!G240))</f>
        <v/>
      </c>
      <c r="H240" s="4">
        <f>PROPER(TRIM(Raw_Data!H240))</f>
        <v/>
      </c>
      <c r="I240" s="4">
        <f>PROPER(TRIM(Raw_Data!I240))</f>
        <v/>
      </c>
      <c r="J240" s="4">
        <f>TRIM(Raw_Data!J240)</f>
        <v/>
      </c>
      <c r="K240" s="4">
        <f>Raw_Data!K240</f>
        <v/>
      </c>
      <c r="L240" s="4">
        <f>IF(TRIM(Raw_Data!L240)="","No Coupon",TRIM(Raw_Data!L240))</f>
        <v/>
      </c>
      <c r="M240" s="4">
        <f>PROPER(TRIM(Raw_Data!M240))</f>
        <v/>
      </c>
      <c r="N240" s="6">
        <f>ROUND(Raw_Data!N240,2)</f>
        <v/>
      </c>
      <c r="O240" s="7">
        <f>IF(COUNTIF($A$2:$A$1201,A240)&gt;1,"DUPLICATE","Unique")</f>
        <v/>
      </c>
      <c r="P240" s="7">
        <f>IF(COUNTIF($J$2:$J$1201,J240)&gt;1,"DUPLICATE","Unique")</f>
        <v/>
      </c>
      <c r="Q240" s="4">
        <f>IF(TRIM(Raw_Data!L240)="","Yes","No")</f>
        <v/>
      </c>
      <c r="R240" s="4">
        <f>IF(ISNUMBER(B240),"Valid","INVALID")</f>
        <v/>
      </c>
    </row>
    <row r="241">
      <c r="A241" s="4">
        <f>TRIM(Raw_Data!A241)</f>
        <v/>
      </c>
      <c r="B241" s="5">
        <f>Raw_Data!B241</f>
        <v/>
      </c>
      <c r="C241" s="4">
        <f>TRIM(Raw_Data!C241)</f>
        <v/>
      </c>
      <c r="D241" s="4">
        <f>PROPER(TRIM(Raw_Data!D241))</f>
        <v/>
      </c>
      <c r="E241" s="4">
        <f>Raw_Data!E241</f>
        <v/>
      </c>
      <c r="F241" s="6">
        <f>ROUND(Raw_Data!F241,2)</f>
        <v/>
      </c>
      <c r="G241" s="4">
        <f>PROPER(TRIM(Raw_Data!G241))</f>
        <v/>
      </c>
      <c r="H241" s="4">
        <f>PROPER(TRIM(Raw_Data!H241))</f>
        <v/>
      </c>
      <c r="I241" s="4">
        <f>PROPER(TRIM(Raw_Data!I241))</f>
        <v/>
      </c>
      <c r="J241" s="4">
        <f>TRIM(Raw_Data!J241)</f>
        <v/>
      </c>
      <c r="K241" s="4">
        <f>Raw_Data!K241</f>
        <v/>
      </c>
      <c r="L241" s="4">
        <f>IF(TRIM(Raw_Data!L241)="","No Coupon",TRIM(Raw_Data!L241))</f>
        <v/>
      </c>
      <c r="M241" s="4">
        <f>PROPER(TRIM(Raw_Data!M241))</f>
        <v/>
      </c>
      <c r="N241" s="6">
        <f>ROUND(Raw_Data!N241,2)</f>
        <v/>
      </c>
      <c r="O241" s="7">
        <f>IF(COUNTIF($A$2:$A$1201,A241)&gt;1,"DUPLICATE","Unique")</f>
        <v/>
      </c>
      <c r="P241" s="7">
        <f>IF(COUNTIF($J$2:$J$1201,J241)&gt;1,"DUPLICATE","Unique")</f>
        <v/>
      </c>
      <c r="Q241" s="4">
        <f>IF(TRIM(Raw_Data!L241)="","Yes","No")</f>
        <v/>
      </c>
      <c r="R241" s="4">
        <f>IF(ISNUMBER(B241),"Valid","INVALID")</f>
        <v/>
      </c>
    </row>
    <row r="242">
      <c r="A242" s="4">
        <f>TRIM(Raw_Data!A242)</f>
        <v/>
      </c>
      <c r="B242" s="5">
        <f>Raw_Data!B242</f>
        <v/>
      </c>
      <c r="C242" s="4">
        <f>TRIM(Raw_Data!C242)</f>
        <v/>
      </c>
      <c r="D242" s="4">
        <f>PROPER(TRIM(Raw_Data!D242))</f>
        <v/>
      </c>
      <c r="E242" s="4">
        <f>Raw_Data!E242</f>
        <v/>
      </c>
      <c r="F242" s="6">
        <f>ROUND(Raw_Data!F242,2)</f>
        <v/>
      </c>
      <c r="G242" s="4">
        <f>PROPER(TRIM(Raw_Data!G242))</f>
        <v/>
      </c>
      <c r="H242" s="4">
        <f>PROPER(TRIM(Raw_Data!H242))</f>
        <v/>
      </c>
      <c r="I242" s="4">
        <f>PROPER(TRIM(Raw_Data!I242))</f>
        <v/>
      </c>
      <c r="J242" s="4">
        <f>TRIM(Raw_Data!J242)</f>
        <v/>
      </c>
      <c r="K242" s="4">
        <f>Raw_Data!K242</f>
        <v/>
      </c>
      <c r="L242" s="4">
        <f>IF(TRIM(Raw_Data!L242)="","No Coupon",TRIM(Raw_Data!L242))</f>
        <v/>
      </c>
      <c r="M242" s="4">
        <f>PROPER(TRIM(Raw_Data!M242))</f>
        <v/>
      </c>
      <c r="N242" s="6">
        <f>ROUND(Raw_Data!N242,2)</f>
        <v/>
      </c>
      <c r="O242" s="7">
        <f>IF(COUNTIF($A$2:$A$1201,A242)&gt;1,"DUPLICATE","Unique")</f>
        <v/>
      </c>
      <c r="P242" s="7">
        <f>IF(COUNTIF($J$2:$J$1201,J242)&gt;1,"DUPLICATE","Unique")</f>
        <v/>
      </c>
      <c r="Q242" s="4">
        <f>IF(TRIM(Raw_Data!L242)="","Yes","No")</f>
        <v/>
      </c>
      <c r="R242" s="4">
        <f>IF(ISNUMBER(B242),"Valid","INVALID")</f>
        <v/>
      </c>
    </row>
    <row r="243">
      <c r="A243" s="4">
        <f>TRIM(Raw_Data!A243)</f>
        <v/>
      </c>
      <c r="B243" s="5">
        <f>Raw_Data!B243</f>
        <v/>
      </c>
      <c r="C243" s="4">
        <f>TRIM(Raw_Data!C243)</f>
        <v/>
      </c>
      <c r="D243" s="4">
        <f>PROPER(TRIM(Raw_Data!D243))</f>
        <v/>
      </c>
      <c r="E243" s="4">
        <f>Raw_Data!E243</f>
        <v/>
      </c>
      <c r="F243" s="6">
        <f>ROUND(Raw_Data!F243,2)</f>
        <v/>
      </c>
      <c r="G243" s="4">
        <f>PROPER(TRIM(Raw_Data!G243))</f>
        <v/>
      </c>
      <c r="H243" s="4">
        <f>PROPER(TRIM(Raw_Data!H243))</f>
        <v/>
      </c>
      <c r="I243" s="4">
        <f>PROPER(TRIM(Raw_Data!I243))</f>
        <v/>
      </c>
      <c r="J243" s="4">
        <f>TRIM(Raw_Data!J243)</f>
        <v/>
      </c>
      <c r="K243" s="4">
        <f>Raw_Data!K243</f>
        <v/>
      </c>
      <c r="L243" s="4">
        <f>IF(TRIM(Raw_Data!L243)="","No Coupon",TRIM(Raw_Data!L243))</f>
        <v/>
      </c>
      <c r="M243" s="4">
        <f>PROPER(TRIM(Raw_Data!M243))</f>
        <v/>
      </c>
      <c r="N243" s="6">
        <f>ROUND(Raw_Data!N243,2)</f>
        <v/>
      </c>
      <c r="O243" s="7">
        <f>IF(COUNTIF($A$2:$A$1201,A243)&gt;1,"DUPLICATE","Unique")</f>
        <v/>
      </c>
      <c r="P243" s="7">
        <f>IF(COUNTIF($J$2:$J$1201,J243)&gt;1,"DUPLICATE","Unique")</f>
        <v/>
      </c>
      <c r="Q243" s="4">
        <f>IF(TRIM(Raw_Data!L243)="","Yes","No")</f>
        <v/>
      </c>
      <c r="R243" s="4">
        <f>IF(ISNUMBER(B243),"Valid","INVALID")</f>
        <v/>
      </c>
    </row>
    <row r="244">
      <c r="A244" s="4">
        <f>TRIM(Raw_Data!A244)</f>
        <v/>
      </c>
      <c r="B244" s="5">
        <f>Raw_Data!B244</f>
        <v/>
      </c>
      <c r="C244" s="4">
        <f>TRIM(Raw_Data!C244)</f>
        <v/>
      </c>
      <c r="D244" s="4">
        <f>PROPER(TRIM(Raw_Data!D244))</f>
        <v/>
      </c>
      <c r="E244" s="4">
        <f>Raw_Data!E244</f>
        <v/>
      </c>
      <c r="F244" s="6">
        <f>ROUND(Raw_Data!F244,2)</f>
        <v/>
      </c>
      <c r="G244" s="4">
        <f>PROPER(TRIM(Raw_Data!G244))</f>
        <v/>
      </c>
      <c r="H244" s="4">
        <f>PROPER(TRIM(Raw_Data!H244))</f>
        <v/>
      </c>
      <c r="I244" s="4">
        <f>PROPER(TRIM(Raw_Data!I244))</f>
        <v/>
      </c>
      <c r="J244" s="4">
        <f>TRIM(Raw_Data!J244)</f>
        <v/>
      </c>
      <c r="K244" s="4">
        <f>Raw_Data!K244</f>
        <v/>
      </c>
      <c r="L244" s="4">
        <f>IF(TRIM(Raw_Data!L244)="","No Coupon",TRIM(Raw_Data!L244))</f>
        <v/>
      </c>
      <c r="M244" s="4">
        <f>PROPER(TRIM(Raw_Data!M244))</f>
        <v/>
      </c>
      <c r="N244" s="6">
        <f>ROUND(Raw_Data!N244,2)</f>
        <v/>
      </c>
      <c r="O244" s="7">
        <f>IF(COUNTIF($A$2:$A$1201,A244)&gt;1,"DUPLICATE","Unique")</f>
        <v/>
      </c>
      <c r="P244" s="7">
        <f>IF(COUNTIF($J$2:$J$1201,J244)&gt;1,"DUPLICATE","Unique")</f>
        <v/>
      </c>
      <c r="Q244" s="4">
        <f>IF(TRIM(Raw_Data!L244)="","Yes","No")</f>
        <v/>
      </c>
      <c r="R244" s="4">
        <f>IF(ISNUMBER(B244),"Valid","INVALID")</f>
        <v/>
      </c>
    </row>
    <row r="245">
      <c r="A245" s="4">
        <f>TRIM(Raw_Data!A245)</f>
        <v/>
      </c>
      <c r="B245" s="5">
        <f>Raw_Data!B245</f>
        <v/>
      </c>
      <c r="C245" s="4">
        <f>TRIM(Raw_Data!C245)</f>
        <v/>
      </c>
      <c r="D245" s="4">
        <f>PROPER(TRIM(Raw_Data!D245))</f>
        <v/>
      </c>
      <c r="E245" s="4">
        <f>Raw_Data!E245</f>
        <v/>
      </c>
      <c r="F245" s="6">
        <f>ROUND(Raw_Data!F245,2)</f>
        <v/>
      </c>
      <c r="G245" s="4">
        <f>PROPER(TRIM(Raw_Data!G245))</f>
        <v/>
      </c>
      <c r="H245" s="4">
        <f>PROPER(TRIM(Raw_Data!H245))</f>
        <v/>
      </c>
      <c r="I245" s="4">
        <f>PROPER(TRIM(Raw_Data!I245))</f>
        <v/>
      </c>
      <c r="J245" s="4">
        <f>TRIM(Raw_Data!J245)</f>
        <v/>
      </c>
      <c r="K245" s="4">
        <f>Raw_Data!K245</f>
        <v/>
      </c>
      <c r="L245" s="4">
        <f>IF(TRIM(Raw_Data!L245)="","No Coupon",TRIM(Raw_Data!L245))</f>
        <v/>
      </c>
      <c r="M245" s="4">
        <f>PROPER(TRIM(Raw_Data!M245))</f>
        <v/>
      </c>
      <c r="N245" s="6">
        <f>ROUND(Raw_Data!N245,2)</f>
        <v/>
      </c>
      <c r="O245" s="7">
        <f>IF(COUNTIF($A$2:$A$1201,A245)&gt;1,"DUPLICATE","Unique")</f>
        <v/>
      </c>
      <c r="P245" s="7">
        <f>IF(COUNTIF($J$2:$J$1201,J245)&gt;1,"DUPLICATE","Unique")</f>
        <v/>
      </c>
      <c r="Q245" s="4">
        <f>IF(TRIM(Raw_Data!L245)="","Yes","No")</f>
        <v/>
      </c>
      <c r="R245" s="4">
        <f>IF(ISNUMBER(B245),"Valid","INVALID")</f>
        <v/>
      </c>
    </row>
    <row r="246">
      <c r="A246" s="4">
        <f>TRIM(Raw_Data!A246)</f>
        <v/>
      </c>
      <c r="B246" s="5">
        <f>Raw_Data!B246</f>
        <v/>
      </c>
      <c r="C246" s="4">
        <f>TRIM(Raw_Data!C246)</f>
        <v/>
      </c>
      <c r="D246" s="4">
        <f>PROPER(TRIM(Raw_Data!D246))</f>
        <v/>
      </c>
      <c r="E246" s="4">
        <f>Raw_Data!E246</f>
        <v/>
      </c>
      <c r="F246" s="6">
        <f>ROUND(Raw_Data!F246,2)</f>
        <v/>
      </c>
      <c r="G246" s="4">
        <f>PROPER(TRIM(Raw_Data!G246))</f>
        <v/>
      </c>
      <c r="H246" s="4">
        <f>PROPER(TRIM(Raw_Data!H246))</f>
        <v/>
      </c>
      <c r="I246" s="4">
        <f>PROPER(TRIM(Raw_Data!I246))</f>
        <v/>
      </c>
      <c r="J246" s="4">
        <f>TRIM(Raw_Data!J246)</f>
        <v/>
      </c>
      <c r="K246" s="4">
        <f>Raw_Data!K246</f>
        <v/>
      </c>
      <c r="L246" s="4">
        <f>IF(TRIM(Raw_Data!L246)="","No Coupon",TRIM(Raw_Data!L246))</f>
        <v/>
      </c>
      <c r="M246" s="4">
        <f>PROPER(TRIM(Raw_Data!M246))</f>
        <v/>
      </c>
      <c r="N246" s="6">
        <f>ROUND(Raw_Data!N246,2)</f>
        <v/>
      </c>
      <c r="O246" s="7">
        <f>IF(COUNTIF($A$2:$A$1201,A246)&gt;1,"DUPLICATE","Unique")</f>
        <v/>
      </c>
      <c r="P246" s="7">
        <f>IF(COUNTIF($J$2:$J$1201,J246)&gt;1,"DUPLICATE","Unique")</f>
        <v/>
      </c>
      <c r="Q246" s="4">
        <f>IF(TRIM(Raw_Data!L246)="","Yes","No")</f>
        <v/>
      </c>
      <c r="R246" s="4">
        <f>IF(ISNUMBER(B246),"Valid","INVALID")</f>
        <v/>
      </c>
    </row>
    <row r="247">
      <c r="A247" s="4">
        <f>TRIM(Raw_Data!A247)</f>
        <v/>
      </c>
      <c r="B247" s="5">
        <f>Raw_Data!B247</f>
        <v/>
      </c>
      <c r="C247" s="4">
        <f>TRIM(Raw_Data!C247)</f>
        <v/>
      </c>
      <c r="D247" s="4">
        <f>PROPER(TRIM(Raw_Data!D247))</f>
        <v/>
      </c>
      <c r="E247" s="4">
        <f>Raw_Data!E247</f>
        <v/>
      </c>
      <c r="F247" s="6">
        <f>ROUND(Raw_Data!F247,2)</f>
        <v/>
      </c>
      <c r="G247" s="4">
        <f>PROPER(TRIM(Raw_Data!G247))</f>
        <v/>
      </c>
      <c r="H247" s="4">
        <f>PROPER(TRIM(Raw_Data!H247))</f>
        <v/>
      </c>
      <c r="I247" s="4">
        <f>PROPER(TRIM(Raw_Data!I247))</f>
        <v/>
      </c>
      <c r="J247" s="4">
        <f>TRIM(Raw_Data!J247)</f>
        <v/>
      </c>
      <c r="K247" s="4">
        <f>Raw_Data!K247</f>
        <v/>
      </c>
      <c r="L247" s="4">
        <f>IF(TRIM(Raw_Data!L247)="","No Coupon",TRIM(Raw_Data!L247))</f>
        <v/>
      </c>
      <c r="M247" s="4">
        <f>PROPER(TRIM(Raw_Data!M247))</f>
        <v/>
      </c>
      <c r="N247" s="6">
        <f>ROUND(Raw_Data!N247,2)</f>
        <v/>
      </c>
      <c r="O247" s="7">
        <f>IF(COUNTIF($A$2:$A$1201,A247)&gt;1,"DUPLICATE","Unique")</f>
        <v/>
      </c>
      <c r="P247" s="7">
        <f>IF(COUNTIF($J$2:$J$1201,J247)&gt;1,"DUPLICATE","Unique")</f>
        <v/>
      </c>
      <c r="Q247" s="4">
        <f>IF(TRIM(Raw_Data!L247)="","Yes","No")</f>
        <v/>
      </c>
      <c r="R247" s="4">
        <f>IF(ISNUMBER(B247),"Valid","INVALID")</f>
        <v/>
      </c>
    </row>
    <row r="248">
      <c r="A248" s="4">
        <f>TRIM(Raw_Data!A248)</f>
        <v/>
      </c>
      <c r="B248" s="5">
        <f>Raw_Data!B248</f>
        <v/>
      </c>
      <c r="C248" s="4">
        <f>TRIM(Raw_Data!C248)</f>
        <v/>
      </c>
      <c r="D248" s="4">
        <f>PROPER(TRIM(Raw_Data!D248))</f>
        <v/>
      </c>
      <c r="E248" s="4">
        <f>Raw_Data!E248</f>
        <v/>
      </c>
      <c r="F248" s="6">
        <f>ROUND(Raw_Data!F248,2)</f>
        <v/>
      </c>
      <c r="G248" s="4">
        <f>PROPER(TRIM(Raw_Data!G248))</f>
        <v/>
      </c>
      <c r="H248" s="4">
        <f>PROPER(TRIM(Raw_Data!H248))</f>
        <v/>
      </c>
      <c r="I248" s="4">
        <f>PROPER(TRIM(Raw_Data!I248))</f>
        <v/>
      </c>
      <c r="J248" s="4">
        <f>TRIM(Raw_Data!J248)</f>
        <v/>
      </c>
      <c r="K248" s="4">
        <f>Raw_Data!K248</f>
        <v/>
      </c>
      <c r="L248" s="4">
        <f>IF(TRIM(Raw_Data!L248)="","No Coupon",TRIM(Raw_Data!L248))</f>
        <v/>
      </c>
      <c r="M248" s="4">
        <f>PROPER(TRIM(Raw_Data!M248))</f>
        <v/>
      </c>
      <c r="N248" s="6">
        <f>ROUND(Raw_Data!N248,2)</f>
        <v/>
      </c>
      <c r="O248" s="7">
        <f>IF(COUNTIF($A$2:$A$1201,A248)&gt;1,"DUPLICATE","Unique")</f>
        <v/>
      </c>
      <c r="P248" s="7">
        <f>IF(COUNTIF($J$2:$J$1201,J248)&gt;1,"DUPLICATE","Unique")</f>
        <v/>
      </c>
      <c r="Q248" s="4">
        <f>IF(TRIM(Raw_Data!L248)="","Yes","No")</f>
        <v/>
      </c>
      <c r="R248" s="4">
        <f>IF(ISNUMBER(B248),"Valid","INVALID")</f>
        <v/>
      </c>
    </row>
    <row r="249">
      <c r="A249" s="4">
        <f>TRIM(Raw_Data!A249)</f>
        <v/>
      </c>
      <c r="B249" s="5">
        <f>Raw_Data!B249</f>
        <v/>
      </c>
      <c r="C249" s="4">
        <f>TRIM(Raw_Data!C249)</f>
        <v/>
      </c>
      <c r="D249" s="4">
        <f>PROPER(TRIM(Raw_Data!D249))</f>
        <v/>
      </c>
      <c r="E249" s="4">
        <f>Raw_Data!E249</f>
        <v/>
      </c>
      <c r="F249" s="6">
        <f>ROUND(Raw_Data!F249,2)</f>
        <v/>
      </c>
      <c r="G249" s="4">
        <f>PROPER(TRIM(Raw_Data!G249))</f>
        <v/>
      </c>
      <c r="H249" s="4">
        <f>PROPER(TRIM(Raw_Data!H249))</f>
        <v/>
      </c>
      <c r="I249" s="4">
        <f>PROPER(TRIM(Raw_Data!I249))</f>
        <v/>
      </c>
      <c r="J249" s="4">
        <f>TRIM(Raw_Data!J249)</f>
        <v/>
      </c>
      <c r="K249" s="4">
        <f>Raw_Data!K249</f>
        <v/>
      </c>
      <c r="L249" s="4">
        <f>IF(TRIM(Raw_Data!L249)="","No Coupon",TRIM(Raw_Data!L249))</f>
        <v/>
      </c>
      <c r="M249" s="4">
        <f>PROPER(TRIM(Raw_Data!M249))</f>
        <v/>
      </c>
      <c r="N249" s="6">
        <f>ROUND(Raw_Data!N249,2)</f>
        <v/>
      </c>
      <c r="O249" s="7">
        <f>IF(COUNTIF($A$2:$A$1201,A249)&gt;1,"DUPLICATE","Unique")</f>
        <v/>
      </c>
      <c r="P249" s="7">
        <f>IF(COUNTIF($J$2:$J$1201,J249)&gt;1,"DUPLICATE","Unique")</f>
        <v/>
      </c>
      <c r="Q249" s="4">
        <f>IF(TRIM(Raw_Data!L249)="","Yes","No")</f>
        <v/>
      </c>
      <c r="R249" s="4">
        <f>IF(ISNUMBER(B249),"Valid","INVALID")</f>
        <v/>
      </c>
    </row>
    <row r="250">
      <c r="A250" s="4">
        <f>TRIM(Raw_Data!A250)</f>
        <v/>
      </c>
      <c r="B250" s="5">
        <f>Raw_Data!B250</f>
        <v/>
      </c>
      <c r="C250" s="4">
        <f>TRIM(Raw_Data!C250)</f>
        <v/>
      </c>
      <c r="D250" s="4">
        <f>PROPER(TRIM(Raw_Data!D250))</f>
        <v/>
      </c>
      <c r="E250" s="4">
        <f>Raw_Data!E250</f>
        <v/>
      </c>
      <c r="F250" s="6">
        <f>ROUND(Raw_Data!F250,2)</f>
        <v/>
      </c>
      <c r="G250" s="4">
        <f>PROPER(TRIM(Raw_Data!G250))</f>
        <v/>
      </c>
      <c r="H250" s="4">
        <f>PROPER(TRIM(Raw_Data!H250))</f>
        <v/>
      </c>
      <c r="I250" s="4">
        <f>PROPER(TRIM(Raw_Data!I250))</f>
        <v/>
      </c>
      <c r="J250" s="4">
        <f>TRIM(Raw_Data!J250)</f>
        <v/>
      </c>
      <c r="K250" s="4">
        <f>Raw_Data!K250</f>
        <v/>
      </c>
      <c r="L250" s="4">
        <f>IF(TRIM(Raw_Data!L250)="","No Coupon",TRIM(Raw_Data!L250))</f>
        <v/>
      </c>
      <c r="M250" s="4">
        <f>PROPER(TRIM(Raw_Data!M250))</f>
        <v/>
      </c>
      <c r="N250" s="6">
        <f>ROUND(Raw_Data!N250,2)</f>
        <v/>
      </c>
      <c r="O250" s="7">
        <f>IF(COUNTIF($A$2:$A$1201,A250)&gt;1,"DUPLICATE","Unique")</f>
        <v/>
      </c>
      <c r="P250" s="7">
        <f>IF(COUNTIF($J$2:$J$1201,J250)&gt;1,"DUPLICATE","Unique")</f>
        <v/>
      </c>
      <c r="Q250" s="4">
        <f>IF(TRIM(Raw_Data!L250)="","Yes","No")</f>
        <v/>
      </c>
      <c r="R250" s="4">
        <f>IF(ISNUMBER(B250),"Valid","INVALID")</f>
        <v/>
      </c>
    </row>
    <row r="251">
      <c r="A251" s="4">
        <f>TRIM(Raw_Data!A251)</f>
        <v/>
      </c>
      <c r="B251" s="5">
        <f>Raw_Data!B251</f>
        <v/>
      </c>
      <c r="C251" s="4">
        <f>TRIM(Raw_Data!C251)</f>
        <v/>
      </c>
      <c r="D251" s="4">
        <f>PROPER(TRIM(Raw_Data!D251))</f>
        <v/>
      </c>
      <c r="E251" s="4">
        <f>Raw_Data!E251</f>
        <v/>
      </c>
      <c r="F251" s="6">
        <f>ROUND(Raw_Data!F251,2)</f>
        <v/>
      </c>
      <c r="G251" s="4">
        <f>PROPER(TRIM(Raw_Data!G251))</f>
        <v/>
      </c>
      <c r="H251" s="4">
        <f>PROPER(TRIM(Raw_Data!H251))</f>
        <v/>
      </c>
      <c r="I251" s="4">
        <f>PROPER(TRIM(Raw_Data!I251))</f>
        <v/>
      </c>
      <c r="J251" s="4">
        <f>TRIM(Raw_Data!J251)</f>
        <v/>
      </c>
      <c r="K251" s="4">
        <f>Raw_Data!K251</f>
        <v/>
      </c>
      <c r="L251" s="4">
        <f>IF(TRIM(Raw_Data!L251)="","No Coupon",TRIM(Raw_Data!L251))</f>
        <v/>
      </c>
      <c r="M251" s="4">
        <f>PROPER(TRIM(Raw_Data!M251))</f>
        <v/>
      </c>
      <c r="N251" s="6">
        <f>ROUND(Raw_Data!N251,2)</f>
        <v/>
      </c>
      <c r="O251" s="7">
        <f>IF(COUNTIF($A$2:$A$1201,A251)&gt;1,"DUPLICATE","Unique")</f>
        <v/>
      </c>
      <c r="P251" s="7">
        <f>IF(COUNTIF($J$2:$J$1201,J251)&gt;1,"DUPLICATE","Unique")</f>
        <v/>
      </c>
      <c r="Q251" s="4">
        <f>IF(TRIM(Raw_Data!L251)="","Yes","No")</f>
        <v/>
      </c>
      <c r="R251" s="4">
        <f>IF(ISNUMBER(B251),"Valid","INVALID")</f>
        <v/>
      </c>
    </row>
    <row r="252">
      <c r="A252" s="4">
        <f>TRIM(Raw_Data!A252)</f>
        <v/>
      </c>
      <c r="B252" s="5">
        <f>Raw_Data!B252</f>
        <v/>
      </c>
      <c r="C252" s="4">
        <f>TRIM(Raw_Data!C252)</f>
        <v/>
      </c>
      <c r="D252" s="4">
        <f>PROPER(TRIM(Raw_Data!D252))</f>
        <v/>
      </c>
      <c r="E252" s="4">
        <f>Raw_Data!E252</f>
        <v/>
      </c>
      <c r="F252" s="6">
        <f>ROUND(Raw_Data!F252,2)</f>
        <v/>
      </c>
      <c r="G252" s="4">
        <f>PROPER(TRIM(Raw_Data!G252))</f>
        <v/>
      </c>
      <c r="H252" s="4">
        <f>PROPER(TRIM(Raw_Data!H252))</f>
        <v/>
      </c>
      <c r="I252" s="4">
        <f>PROPER(TRIM(Raw_Data!I252))</f>
        <v/>
      </c>
      <c r="J252" s="4">
        <f>TRIM(Raw_Data!J252)</f>
        <v/>
      </c>
      <c r="K252" s="4">
        <f>Raw_Data!K252</f>
        <v/>
      </c>
      <c r="L252" s="4">
        <f>IF(TRIM(Raw_Data!L252)="","No Coupon",TRIM(Raw_Data!L252))</f>
        <v/>
      </c>
      <c r="M252" s="4">
        <f>PROPER(TRIM(Raw_Data!M252))</f>
        <v/>
      </c>
      <c r="N252" s="6">
        <f>ROUND(Raw_Data!N252,2)</f>
        <v/>
      </c>
      <c r="O252" s="7">
        <f>IF(COUNTIF($A$2:$A$1201,A252)&gt;1,"DUPLICATE","Unique")</f>
        <v/>
      </c>
      <c r="P252" s="7">
        <f>IF(COUNTIF($J$2:$J$1201,J252)&gt;1,"DUPLICATE","Unique")</f>
        <v/>
      </c>
      <c r="Q252" s="4">
        <f>IF(TRIM(Raw_Data!L252)="","Yes","No")</f>
        <v/>
      </c>
      <c r="R252" s="4">
        <f>IF(ISNUMBER(B252),"Valid","INVALID")</f>
        <v/>
      </c>
    </row>
    <row r="253">
      <c r="A253" s="4">
        <f>TRIM(Raw_Data!A253)</f>
        <v/>
      </c>
      <c r="B253" s="5">
        <f>Raw_Data!B253</f>
        <v/>
      </c>
      <c r="C253" s="4">
        <f>TRIM(Raw_Data!C253)</f>
        <v/>
      </c>
      <c r="D253" s="4">
        <f>PROPER(TRIM(Raw_Data!D253))</f>
        <v/>
      </c>
      <c r="E253" s="4">
        <f>Raw_Data!E253</f>
        <v/>
      </c>
      <c r="F253" s="6">
        <f>ROUND(Raw_Data!F253,2)</f>
        <v/>
      </c>
      <c r="G253" s="4">
        <f>PROPER(TRIM(Raw_Data!G253))</f>
        <v/>
      </c>
      <c r="H253" s="4">
        <f>PROPER(TRIM(Raw_Data!H253))</f>
        <v/>
      </c>
      <c r="I253" s="4">
        <f>PROPER(TRIM(Raw_Data!I253))</f>
        <v/>
      </c>
      <c r="J253" s="4">
        <f>TRIM(Raw_Data!J253)</f>
        <v/>
      </c>
      <c r="K253" s="4">
        <f>Raw_Data!K253</f>
        <v/>
      </c>
      <c r="L253" s="4">
        <f>IF(TRIM(Raw_Data!L253)="","No Coupon",TRIM(Raw_Data!L253))</f>
        <v/>
      </c>
      <c r="M253" s="4">
        <f>PROPER(TRIM(Raw_Data!M253))</f>
        <v/>
      </c>
      <c r="N253" s="6">
        <f>ROUND(Raw_Data!N253,2)</f>
        <v/>
      </c>
      <c r="O253" s="7">
        <f>IF(COUNTIF($A$2:$A$1201,A253)&gt;1,"DUPLICATE","Unique")</f>
        <v/>
      </c>
      <c r="P253" s="7">
        <f>IF(COUNTIF($J$2:$J$1201,J253)&gt;1,"DUPLICATE","Unique")</f>
        <v/>
      </c>
      <c r="Q253" s="4">
        <f>IF(TRIM(Raw_Data!L253)="","Yes","No")</f>
        <v/>
      </c>
      <c r="R253" s="4">
        <f>IF(ISNUMBER(B253),"Valid","INVALID")</f>
        <v/>
      </c>
    </row>
    <row r="254">
      <c r="A254" s="4">
        <f>TRIM(Raw_Data!A254)</f>
        <v/>
      </c>
      <c r="B254" s="5">
        <f>Raw_Data!B254</f>
        <v/>
      </c>
      <c r="C254" s="4">
        <f>TRIM(Raw_Data!C254)</f>
        <v/>
      </c>
      <c r="D254" s="4">
        <f>PROPER(TRIM(Raw_Data!D254))</f>
        <v/>
      </c>
      <c r="E254" s="4">
        <f>Raw_Data!E254</f>
        <v/>
      </c>
      <c r="F254" s="6">
        <f>ROUND(Raw_Data!F254,2)</f>
        <v/>
      </c>
      <c r="G254" s="4">
        <f>PROPER(TRIM(Raw_Data!G254))</f>
        <v/>
      </c>
      <c r="H254" s="4">
        <f>PROPER(TRIM(Raw_Data!H254))</f>
        <v/>
      </c>
      <c r="I254" s="4">
        <f>PROPER(TRIM(Raw_Data!I254))</f>
        <v/>
      </c>
      <c r="J254" s="4">
        <f>TRIM(Raw_Data!J254)</f>
        <v/>
      </c>
      <c r="K254" s="4">
        <f>Raw_Data!K254</f>
        <v/>
      </c>
      <c r="L254" s="4">
        <f>IF(TRIM(Raw_Data!L254)="","No Coupon",TRIM(Raw_Data!L254))</f>
        <v/>
      </c>
      <c r="M254" s="4">
        <f>PROPER(TRIM(Raw_Data!M254))</f>
        <v/>
      </c>
      <c r="N254" s="6">
        <f>ROUND(Raw_Data!N254,2)</f>
        <v/>
      </c>
      <c r="O254" s="7">
        <f>IF(COUNTIF($A$2:$A$1201,A254)&gt;1,"DUPLICATE","Unique")</f>
        <v/>
      </c>
      <c r="P254" s="7">
        <f>IF(COUNTIF($J$2:$J$1201,J254)&gt;1,"DUPLICATE","Unique")</f>
        <v/>
      </c>
      <c r="Q254" s="4">
        <f>IF(TRIM(Raw_Data!L254)="","Yes","No")</f>
        <v/>
      </c>
      <c r="R254" s="4">
        <f>IF(ISNUMBER(B254),"Valid","INVALID")</f>
        <v/>
      </c>
    </row>
    <row r="255">
      <c r="A255" s="4">
        <f>TRIM(Raw_Data!A255)</f>
        <v/>
      </c>
      <c r="B255" s="5">
        <f>Raw_Data!B255</f>
        <v/>
      </c>
      <c r="C255" s="4">
        <f>TRIM(Raw_Data!C255)</f>
        <v/>
      </c>
      <c r="D255" s="4">
        <f>PROPER(TRIM(Raw_Data!D255))</f>
        <v/>
      </c>
      <c r="E255" s="4">
        <f>Raw_Data!E255</f>
        <v/>
      </c>
      <c r="F255" s="6">
        <f>ROUND(Raw_Data!F255,2)</f>
        <v/>
      </c>
      <c r="G255" s="4">
        <f>PROPER(TRIM(Raw_Data!G255))</f>
        <v/>
      </c>
      <c r="H255" s="4">
        <f>PROPER(TRIM(Raw_Data!H255))</f>
        <v/>
      </c>
      <c r="I255" s="4">
        <f>PROPER(TRIM(Raw_Data!I255))</f>
        <v/>
      </c>
      <c r="J255" s="4">
        <f>TRIM(Raw_Data!J255)</f>
        <v/>
      </c>
      <c r="K255" s="4">
        <f>Raw_Data!K255</f>
        <v/>
      </c>
      <c r="L255" s="4">
        <f>IF(TRIM(Raw_Data!L255)="","No Coupon",TRIM(Raw_Data!L255))</f>
        <v/>
      </c>
      <c r="M255" s="4">
        <f>PROPER(TRIM(Raw_Data!M255))</f>
        <v/>
      </c>
      <c r="N255" s="6">
        <f>ROUND(Raw_Data!N255,2)</f>
        <v/>
      </c>
      <c r="O255" s="7">
        <f>IF(COUNTIF($A$2:$A$1201,A255)&gt;1,"DUPLICATE","Unique")</f>
        <v/>
      </c>
      <c r="P255" s="7">
        <f>IF(COUNTIF($J$2:$J$1201,J255)&gt;1,"DUPLICATE","Unique")</f>
        <v/>
      </c>
      <c r="Q255" s="4">
        <f>IF(TRIM(Raw_Data!L255)="","Yes","No")</f>
        <v/>
      </c>
      <c r="R255" s="4">
        <f>IF(ISNUMBER(B255),"Valid","INVALID")</f>
        <v/>
      </c>
    </row>
    <row r="256">
      <c r="A256" s="4">
        <f>TRIM(Raw_Data!A256)</f>
        <v/>
      </c>
      <c r="B256" s="5">
        <f>Raw_Data!B256</f>
        <v/>
      </c>
      <c r="C256" s="4">
        <f>TRIM(Raw_Data!C256)</f>
        <v/>
      </c>
      <c r="D256" s="4">
        <f>PROPER(TRIM(Raw_Data!D256))</f>
        <v/>
      </c>
      <c r="E256" s="4">
        <f>Raw_Data!E256</f>
        <v/>
      </c>
      <c r="F256" s="6">
        <f>ROUND(Raw_Data!F256,2)</f>
        <v/>
      </c>
      <c r="G256" s="4">
        <f>PROPER(TRIM(Raw_Data!G256))</f>
        <v/>
      </c>
      <c r="H256" s="4">
        <f>PROPER(TRIM(Raw_Data!H256))</f>
        <v/>
      </c>
      <c r="I256" s="4">
        <f>PROPER(TRIM(Raw_Data!I256))</f>
        <v/>
      </c>
      <c r="J256" s="4">
        <f>TRIM(Raw_Data!J256)</f>
        <v/>
      </c>
      <c r="K256" s="4">
        <f>Raw_Data!K256</f>
        <v/>
      </c>
      <c r="L256" s="4">
        <f>IF(TRIM(Raw_Data!L256)="","No Coupon",TRIM(Raw_Data!L256))</f>
        <v/>
      </c>
      <c r="M256" s="4">
        <f>PROPER(TRIM(Raw_Data!M256))</f>
        <v/>
      </c>
      <c r="N256" s="6">
        <f>ROUND(Raw_Data!N256,2)</f>
        <v/>
      </c>
      <c r="O256" s="7">
        <f>IF(COUNTIF($A$2:$A$1201,A256)&gt;1,"DUPLICATE","Unique")</f>
        <v/>
      </c>
      <c r="P256" s="7">
        <f>IF(COUNTIF($J$2:$J$1201,J256)&gt;1,"DUPLICATE","Unique")</f>
        <v/>
      </c>
      <c r="Q256" s="4">
        <f>IF(TRIM(Raw_Data!L256)="","Yes","No")</f>
        <v/>
      </c>
      <c r="R256" s="4">
        <f>IF(ISNUMBER(B256),"Valid","INVALID")</f>
        <v/>
      </c>
    </row>
    <row r="257">
      <c r="A257" s="4">
        <f>TRIM(Raw_Data!A257)</f>
        <v/>
      </c>
      <c r="B257" s="5">
        <f>Raw_Data!B257</f>
        <v/>
      </c>
      <c r="C257" s="4">
        <f>TRIM(Raw_Data!C257)</f>
        <v/>
      </c>
      <c r="D257" s="4">
        <f>PROPER(TRIM(Raw_Data!D257))</f>
        <v/>
      </c>
      <c r="E257" s="4">
        <f>Raw_Data!E257</f>
        <v/>
      </c>
      <c r="F257" s="6">
        <f>ROUND(Raw_Data!F257,2)</f>
        <v/>
      </c>
      <c r="G257" s="4">
        <f>PROPER(TRIM(Raw_Data!G257))</f>
        <v/>
      </c>
      <c r="H257" s="4">
        <f>PROPER(TRIM(Raw_Data!H257))</f>
        <v/>
      </c>
      <c r="I257" s="4">
        <f>PROPER(TRIM(Raw_Data!I257))</f>
        <v/>
      </c>
      <c r="J257" s="4">
        <f>TRIM(Raw_Data!J257)</f>
        <v/>
      </c>
      <c r="K257" s="4">
        <f>Raw_Data!K257</f>
        <v/>
      </c>
      <c r="L257" s="4">
        <f>IF(TRIM(Raw_Data!L257)="","No Coupon",TRIM(Raw_Data!L257))</f>
        <v/>
      </c>
      <c r="M257" s="4">
        <f>PROPER(TRIM(Raw_Data!M257))</f>
        <v/>
      </c>
      <c r="N257" s="6">
        <f>ROUND(Raw_Data!N257,2)</f>
        <v/>
      </c>
      <c r="O257" s="7">
        <f>IF(COUNTIF($A$2:$A$1201,A257)&gt;1,"DUPLICATE","Unique")</f>
        <v/>
      </c>
      <c r="P257" s="7">
        <f>IF(COUNTIF($J$2:$J$1201,J257)&gt;1,"DUPLICATE","Unique")</f>
        <v/>
      </c>
      <c r="Q257" s="4">
        <f>IF(TRIM(Raw_Data!L257)="","Yes","No")</f>
        <v/>
      </c>
      <c r="R257" s="4">
        <f>IF(ISNUMBER(B257),"Valid","INVALID")</f>
        <v/>
      </c>
    </row>
    <row r="258">
      <c r="A258" s="4">
        <f>TRIM(Raw_Data!A258)</f>
        <v/>
      </c>
      <c r="B258" s="5">
        <f>Raw_Data!B258</f>
        <v/>
      </c>
      <c r="C258" s="4">
        <f>TRIM(Raw_Data!C258)</f>
        <v/>
      </c>
      <c r="D258" s="4">
        <f>PROPER(TRIM(Raw_Data!D258))</f>
        <v/>
      </c>
      <c r="E258" s="4">
        <f>Raw_Data!E258</f>
        <v/>
      </c>
      <c r="F258" s="6">
        <f>ROUND(Raw_Data!F258,2)</f>
        <v/>
      </c>
      <c r="G258" s="4">
        <f>PROPER(TRIM(Raw_Data!G258))</f>
        <v/>
      </c>
      <c r="H258" s="4">
        <f>PROPER(TRIM(Raw_Data!H258))</f>
        <v/>
      </c>
      <c r="I258" s="4">
        <f>PROPER(TRIM(Raw_Data!I258))</f>
        <v/>
      </c>
      <c r="J258" s="4">
        <f>TRIM(Raw_Data!J258)</f>
        <v/>
      </c>
      <c r="K258" s="4">
        <f>Raw_Data!K258</f>
        <v/>
      </c>
      <c r="L258" s="4">
        <f>IF(TRIM(Raw_Data!L258)="","No Coupon",TRIM(Raw_Data!L258))</f>
        <v/>
      </c>
      <c r="M258" s="4">
        <f>PROPER(TRIM(Raw_Data!M258))</f>
        <v/>
      </c>
      <c r="N258" s="6">
        <f>ROUND(Raw_Data!N258,2)</f>
        <v/>
      </c>
      <c r="O258" s="7">
        <f>IF(COUNTIF($A$2:$A$1201,A258)&gt;1,"DUPLICATE","Unique")</f>
        <v/>
      </c>
      <c r="P258" s="7">
        <f>IF(COUNTIF($J$2:$J$1201,J258)&gt;1,"DUPLICATE","Unique")</f>
        <v/>
      </c>
      <c r="Q258" s="4">
        <f>IF(TRIM(Raw_Data!L258)="","Yes","No")</f>
        <v/>
      </c>
      <c r="R258" s="4">
        <f>IF(ISNUMBER(B258),"Valid","INVALID")</f>
        <v/>
      </c>
    </row>
    <row r="259">
      <c r="A259" s="4">
        <f>TRIM(Raw_Data!A259)</f>
        <v/>
      </c>
      <c r="B259" s="5">
        <f>Raw_Data!B259</f>
        <v/>
      </c>
      <c r="C259" s="4">
        <f>TRIM(Raw_Data!C259)</f>
        <v/>
      </c>
      <c r="D259" s="4">
        <f>PROPER(TRIM(Raw_Data!D259))</f>
        <v/>
      </c>
      <c r="E259" s="4">
        <f>Raw_Data!E259</f>
        <v/>
      </c>
      <c r="F259" s="6">
        <f>ROUND(Raw_Data!F259,2)</f>
        <v/>
      </c>
      <c r="G259" s="4">
        <f>PROPER(TRIM(Raw_Data!G259))</f>
        <v/>
      </c>
      <c r="H259" s="4">
        <f>PROPER(TRIM(Raw_Data!H259))</f>
        <v/>
      </c>
      <c r="I259" s="4">
        <f>PROPER(TRIM(Raw_Data!I259))</f>
        <v/>
      </c>
      <c r="J259" s="4">
        <f>TRIM(Raw_Data!J259)</f>
        <v/>
      </c>
      <c r="K259" s="4">
        <f>Raw_Data!K259</f>
        <v/>
      </c>
      <c r="L259" s="4">
        <f>IF(TRIM(Raw_Data!L259)="","No Coupon",TRIM(Raw_Data!L259))</f>
        <v/>
      </c>
      <c r="M259" s="4">
        <f>PROPER(TRIM(Raw_Data!M259))</f>
        <v/>
      </c>
      <c r="N259" s="6">
        <f>ROUND(Raw_Data!N259,2)</f>
        <v/>
      </c>
      <c r="O259" s="7">
        <f>IF(COUNTIF($A$2:$A$1201,A259)&gt;1,"DUPLICATE","Unique")</f>
        <v/>
      </c>
      <c r="P259" s="7">
        <f>IF(COUNTIF($J$2:$J$1201,J259)&gt;1,"DUPLICATE","Unique")</f>
        <v/>
      </c>
      <c r="Q259" s="4">
        <f>IF(TRIM(Raw_Data!L259)="","Yes","No")</f>
        <v/>
      </c>
      <c r="R259" s="4">
        <f>IF(ISNUMBER(B259),"Valid","INVALID")</f>
        <v/>
      </c>
    </row>
    <row r="260">
      <c r="A260" s="4">
        <f>TRIM(Raw_Data!A260)</f>
        <v/>
      </c>
      <c r="B260" s="5">
        <f>Raw_Data!B260</f>
        <v/>
      </c>
      <c r="C260" s="4">
        <f>TRIM(Raw_Data!C260)</f>
        <v/>
      </c>
      <c r="D260" s="4">
        <f>PROPER(TRIM(Raw_Data!D260))</f>
        <v/>
      </c>
      <c r="E260" s="4">
        <f>Raw_Data!E260</f>
        <v/>
      </c>
      <c r="F260" s="6">
        <f>ROUND(Raw_Data!F260,2)</f>
        <v/>
      </c>
      <c r="G260" s="4">
        <f>PROPER(TRIM(Raw_Data!G260))</f>
        <v/>
      </c>
      <c r="H260" s="4">
        <f>PROPER(TRIM(Raw_Data!H260))</f>
        <v/>
      </c>
      <c r="I260" s="4">
        <f>PROPER(TRIM(Raw_Data!I260))</f>
        <v/>
      </c>
      <c r="J260" s="4">
        <f>TRIM(Raw_Data!J260)</f>
        <v/>
      </c>
      <c r="K260" s="4">
        <f>Raw_Data!K260</f>
        <v/>
      </c>
      <c r="L260" s="4">
        <f>IF(TRIM(Raw_Data!L260)="","No Coupon",TRIM(Raw_Data!L260))</f>
        <v/>
      </c>
      <c r="M260" s="4">
        <f>PROPER(TRIM(Raw_Data!M260))</f>
        <v/>
      </c>
      <c r="N260" s="6">
        <f>ROUND(Raw_Data!N260,2)</f>
        <v/>
      </c>
      <c r="O260" s="7">
        <f>IF(COUNTIF($A$2:$A$1201,A260)&gt;1,"DUPLICATE","Unique")</f>
        <v/>
      </c>
      <c r="P260" s="7">
        <f>IF(COUNTIF($J$2:$J$1201,J260)&gt;1,"DUPLICATE","Unique")</f>
        <v/>
      </c>
      <c r="Q260" s="4">
        <f>IF(TRIM(Raw_Data!L260)="","Yes","No")</f>
        <v/>
      </c>
      <c r="R260" s="4">
        <f>IF(ISNUMBER(B260),"Valid","INVALID")</f>
        <v/>
      </c>
    </row>
    <row r="261">
      <c r="A261" s="4">
        <f>TRIM(Raw_Data!A261)</f>
        <v/>
      </c>
      <c r="B261" s="5">
        <f>Raw_Data!B261</f>
        <v/>
      </c>
      <c r="C261" s="4">
        <f>TRIM(Raw_Data!C261)</f>
        <v/>
      </c>
      <c r="D261" s="4">
        <f>PROPER(TRIM(Raw_Data!D261))</f>
        <v/>
      </c>
      <c r="E261" s="4">
        <f>Raw_Data!E261</f>
        <v/>
      </c>
      <c r="F261" s="6">
        <f>ROUND(Raw_Data!F261,2)</f>
        <v/>
      </c>
      <c r="G261" s="4">
        <f>PROPER(TRIM(Raw_Data!G261))</f>
        <v/>
      </c>
      <c r="H261" s="4">
        <f>PROPER(TRIM(Raw_Data!H261))</f>
        <v/>
      </c>
      <c r="I261" s="4">
        <f>PROPER(TRIM(Raw_Data!I261))</f>
        <v/>
      </c>
      <c r="J261" s="4">
        <f>TRIM(Raw_Data!J261)</f>
        <v/>
      </c>
      <c r="K261" s="4">
        <f>Raw_Data!K261</f>
        <v/>
      </c>
      <c r="L261" s="4">
        <f>IF(TRIM(Raw_Data!L261)="","No Coupon",TRIM(Raw_Data!L261))</f>
        <v/>
      </c>
      <c r="M261" s="4">
        <f>PROPER(TRIM(Raw_Data!M261))</f>
        <v/>
      </c>
      <c r="N261" s="6">
        <f>ROUND(Raw_Data!N261,2)</f>
        <v/>
      </c>
      <c r="O261" s="7">
        <f>IF(COUNTIF($A$2:$A$1201,A261)&gt;1,"DUPLICATE","Unique")</f>
        <v/>
      </c>
      <c r="P261" s="7">
        <f>IF(COUNTIF($J$2:$J$1201,J261)&gt;1,"DUPLICATE","Unique")</f>
        <v/>
      </c>
      <c r="Q261" s="4">
        <f>IF(TRIM(Raw_Data!L261)="","Yes","No")</f>
        <v/>
      </c>
      <c r="R261" s="4">
        <f>IF(ISNUMBER(B261),"Valid","INVALID")</f>
        <v/>
      </c>
    </row>
    <row r="262">
      <c r="A262" s="4">
        <f>TRIM(Raw_Data!A262)</f>
        <v/>
      </c>
      <c r="B262" s="5">
        <f>Raw_Data!B262</f>
        <v/>
      </c>
      <c r="C262" s="4">
        <f>TRIM(Raw_Data!C262)</f>
        <v/>
      </c>
      <c r="D262" s="4">
        <f>PROPER(TRIM(Raw_Data!D262))</f>
        <v/>
      </c>
      <c r="E262" s="4">
        <f>Raw_Data!E262</f>
        <v/>
      </c>
      <c r="F262" s="6">
        <f>ROUND(Raw_Data!F262,2)</f>
        <v/>
      </c>
      <c r="G262" s="4">
        <f>PROPER(TRIM(Raw_Data!G262))</f>
        <v/>
      </c>
      <c r="H262" s="4">
        <f>PROPER(TRIM(Raw_Data!H262))</f>
        <v/>
      </c>
      <c r="I262" s="4">
        <f>PROPER(TRIM(Raw_Data!I262))</f>
        <v/>
      </c>
      <c r="J262" s="4">
        <f>TRIM(Raw_Data!J262)</f>
        <v/>
      </c>
      <c r="K262" s="4">
        <f>Raw_Data!K262</f>
        <v/>
      </c>
      <c r="L262" s="4">
        <f>IF(TRIM(Raw_Data!L262)="","No Coupon",TRIM(Raw_Data!L262))</f>
        <v/>
      </c>
      <c r="M262" s="4">
        <f>PROPER(TRIM(Raw_Data!M262))</f>
        <v/>
      </c>
      <c r="N262" s="6">
        <f>ROUND(Raw_Data!N262,2)</f>
        <v/>
      </c>
      <c r="O262" s="7">
        <f>IF(COUNTIF($A$2:$A$1201,A262)&gt;1,"DUPLICATE","Unique")</f>
        <v/>
      </c>
      <c r="P262" s="7">
        <f>IF(COUNTIF($J$2:$J$1201,J262)&gt;1,"DUPLICATE","Unique")</f>
        <v/>
      </c>
      <c r="Q262" s="4">
        <f>IF(TRIM(Raw_Data!L262)="","Yes","No")</f>
        <v/>
      </c>
      <c r="R262" s="4">
        <f>IF(ISNUMBER(B262),"Valid","INVALID")</f>
        <v/>
      </c>
    </row>
    <row r="263">
      <c r="A263" s="4">
        <f>TRIM(Raw_Data!A263)</f>
        <v/>
      </c>
      <c r="B263" s="5">
        <f>Raw_Data!B263</f>
        <v/>
      </c>
      <c r="C263" s="4">
        <f>TRIM(Raw_Data!C263)</f>
        <v/>
      </c>
      <c r="D263" s="4">
        <f>PROPER(TRIM(Raw_Data!D263))</f>
        <v/>
      </c>
      <c r="E263" s="4">
        <f>Raw_Data!E263</f>
        <v/>
      </c>
      <c r="F263" s="6">
        <f>ROUND(Raw_Data!F263,2)</f>
        <v/>
      </c>
      <c r="G263" s="4">
        <f>PROPER(TRIM(Raw_Data!G263))</f>
        <v/>
      </c>
      <c r="H263" s="4">
        <f>PROPER(TRIM(Raw_Data!H263))</f>
        <v/>
      </c>
      <c r="I263" s="4">
        <f>PROPER(TRIM(Raw_Data!I263))</f>
        <v/>
      </c>
      <c r="J263" s="4">
        <f>TRIM(Raw_Data!J263)</f>
        <v/>
      </c>
      <c r="K263" s="4">
        <f>Raw_Data!K263</f>
        <v/>
      </c>
      <c r="L263" s="4">
        <f>IF(TRIM(Raw_Data!L263)="","No Coupon",TRIM(Raw_Data!L263))</f>
        <v/>
      </c>
      <c r="M263" s="4">
        <f>PROPER(TRIM(Raw_Data!M263))</f>
        <v/>
      </c>
      <c r="N263" s="6">
        <f>ROUND(Raw_Data!N263,2)</f>
        <v/>
      </c>
      <c r="O263" s="7">
        <f>IF(COUNTIF($A$2:$A$1201,A263)&gt;1,"DUPLICATE","Unique")</f>
        <v/>
      </c>
      <c r="P263" s="7">
        <f>IF(COUNTIF($J$2:$J$1201,J263)&gt;1,"DUPLICATE","Unique")</f>
        <v/>
      </c>
      <c r="Q263" s="4">
        <f>IF(TRIM(Raw_Data!L263)="","Yes","No")</f>
        <v/>
      </c>
      <c r="R263" s="4">
        <f>IF(ISNUMBER(B263),"Valid","INVALID")</f>
        <v/>
      </c>
    </row>
    <row r="264">
      <c r="A264" s="4">
        <f>TRIM(Raw_Data!A264)</f>
        <v/>
      </c>
      <c r="B264" s="5">
        <f>Raw_Data!B264</f>
        <v/>
      </c>
      <c r="C264" s="4">
        <f>TRIM(Raw_Data!C264)</f>
        <v/>
      </c>
      <c r="D264" s="4">
        <f>PROPER(TRIM(Raw_Data!D264))</f>
        <v/>
      </c>
      <c r="E264" s="4">
        <f>Raw_Data!E264</f>
        <v/>
      </c>
      <c r="F264" s="6">
        <f>ROUND(Raw_Data!F264,2)</f>
        <v/>
      </c>
      <c r="G264" s="4">
        <f>PROPER(TRIM(Raw_Data!G264))</f>
        <v/>
      </c>
      <c r="H264" s="4">
        <f>PROPER(TRIM(Raw_Data!H264))</f>
        <v/>
      </c>
      <c r="I264" s="4">
        <f>PROPER(TRIM(Raw_Data!I264))</f>
        <v/>
      </c>
      <c r="J264" s="4">
        <f>TRIM(Raw_Data!J264)</f>
        <v/>
      </c>
      <c r="K264" s="4">
        <f>Raw_Data!K264</f>
        <v/>
      </c>
      <c r="L264" s="4">
        <f>IF(TRIM(Raw_Data!L264)="","No Coupon",TRIM(Raw_Data!L264))</f>
        <v/>
      </c>
      <c r="M264" s="4">
        <f>PROPER(TRIM(Raw_Data!M264))</f>
        <v/>
      </c>
      <c r="N264" s="6">
        <f>ROUND(Raw_Data!N264,2)</f>
        <v/>
      </c>
      <c r="O264" s="7">
        <f>IF(COUNTIF($A$2:$A$1201,A264)&gt;1,"DUPLICATE","Unique")</f>
        <v/>
      </c>
      <c r="P264" s="7">
        <f>IF(COUNTIF($J$2:$J$1201,J264)&gt;1,"DUPLICATE","Unique")</f>
        <v/>
      </c>
      <c r="Q264" s="4">
        <f>IF(TRIM(Raw_Data!L264)="","Yes","No")</f>
        <v/>
      </c>
      <c r="R264" s="4">
        <f>IF(ISNUMBER(B264),"Valid","INVALID")</f>
        <v/>
      </c>
    </row>
    <row r="265">
      <c r="A265" s="4">
        <f>TRIM(Raw_Data!A265)</f>
        <v/>
      </c>
      <c r="B265" s="5">
        <f>Raw_Data!B265</f>
        <v/>
      </c>
      <c r="C265" s="4">
        <f>TRIM(Raw_Data!C265)</f>
        <v/>
      </c>
      <c r="D265" s="4">
        <f>PROPER(TRIM(Raw_Data!D265))</f>
        <v/>
      </c>
      <c r="E265" s="4">
        <f>Raw_Data!E265</f>
        <v/>
      </c>
      <c r="F265" s="6">
        <f>ROUND(Raw_Data!F265,2)</f>
        <v/>
      </c>
      <c r="G265" s="4">
        <f>PROPER(TRIM(Raw_Data!G265))</f>
        <v/>
      </c>
      <c r="H265" s="4">
        <f>PROPER(TRIM(Raw_Data!H265))</f>
        <v/>
      </c>
      <c r="I265" s="4">
        <f>PROPER(TRIM(Raw_Data!I265))</f>
        <v/>
      </c>
      <c r="J265" s="4">
        <f>TRIM(Raw_Data!J265)</f>
        <v/>
      </c>
      <c r="K265" s="4">
        <f>Raw_Data!K265</f>
        <v/>
      </c>
      <c r="L265" s="4">
        <f>IF(TRIM(Raw_Data!L265)="","No Coupon",TRIM(Raw_Data!L265))</f>
        <v/>
      </c>
      <c r="M265" s="4">
        <f>PROPER(TRIM(Raw_Data!M265))</f>
        <v/>
      </c>
      <c r="N265" s="6">
        <f>ROUND(Raw_Data!N265,2)</f>
        <v/>
      </c>
      <c r="O265" s="7">
        <f>IF(COUNTIF($A$2:$A$1201,A265)&gt;1,"DUPLICATE","Unique")</f>
        <v/>
      </c>
      <c r="P265" s="7">
        <f>IF(COUNTIF($J$2:$J$1201,J265)&gt;1,"DUPLICATE","Unique")</f>
        <v/>
      </c>
      <c r="Q265" s="4">
        <f>IF(TRIM(Raw_Data!L265)="","Yes","No")</f>
        <v/>
      </c>
      <c r="R265" s="4">
        <f>IF(ISNUMBER(B265),"Valid","INVALID")</f>
        <v/>
      </c>
    </row>
    <row r="266">
      <c r="A266" s="4">
        <f>TRIM(Raw_Data!A266)</f>
        <v/>
      </c>
      <c r="B266" s="5">
        <f>Raw_Data!B266</f>
        <v/>
      </c>
      <c r="C266" s="4">
        <f>TRIM(Raw_Data!C266)</f>
        <v/>
      </c>
      <c r="D266" s="4">
        <f>PROPER(TRIM(Raw_Data!D266))</f>
        <v/>
      </c>
      <c r="E266" s="4">
        <f>Raw_Data!E266</f>
        <v/>
      </c>
      <c r="F266" s="6">
        <f>ROUND(Raw_Data!F266,2)</f>
        <v/>
      </c>
      <c r="G266" s="4">
        <f>PROPER(TRIM(Raw_Data!G266))</f>
        <v/>
      </c>
      <c r="H266" s="4">
        <f>PROPER(TRIM(Raw_Data!H266))</f>
        <v/>
      </c>
      <c r="I266" s="4">
        <f>PROPER(TRIM(Raw_Data!I266))</f>
        <v/>
      </c>
      <c r="J266" s="4">
        <f>TRIM(Raw_Data!J266)</f>
        <v/>
      </c>
      <c r="K266" s="4">
        <f>Raw_Data!K266</f>
        <v/>
      </c>
      <c r="L266" s="4">
        <f>IF(TRIM(Raw_Data!L266)="","No Coupon",TRIM(Raw_Data!L266))</f>
        <v/>
      </c>
      <c r="M266" s="4">
        <f>PROPER(TRIM(Raw_Data!M266))</f>
        <v/>
      </c>
      <c r="N266" s="6">
        <f>ROUND(Raw_Data!N266,2)</f>
        <v/>
      </c>
      <c r="O266" s="7">
        <f>IF(COUNTIF($A$2:$A$1201,A266)&gt;1,"DUPLICATE","Unique")</f>
        <v/>
      </c>
      <c r="P266" s="7">
        <f>IF(COUNTIF($J$2:$J$1201,J266)&gt;1,"DUPLICATE","Unique")</f>
        <v/>
      </c>
      <c r="Q266" s="4">
        <f>IF(TRIM(Raw_Data!L266)="","Yes","No")</f>
        <v/>
      </c>
      <c r="R266" s="4">
        <f>IF(ISNUMBER(B266),"Valid","INVALID")</f>
        <v/>
      </c>
    </row>
    <row r="267">
      <c r="A267" s="4">
        <f>TRIM(Raw_Data!A267)</f>
        <v/>
      </c>
      <c r="B267" s="5">
        <f>Raw_Data!B267</f>
        <v/>
      </c>
      <c r="C267" s="4">
        <f>TRIM(Raw_Data!C267)</f>
        <v/>
      </c>
      <c r="D267" s="4">
        <f>PROPER(TRIM(Raw_Data!D267))</f>
        <v/>
      </c>
      <c r="E267" s="4">
        <f>Raw_Data!E267</f>
        <v/>
      </c>
      <c r="F267" s="6">
        <f>ROUND(Raw_Data!F267,2)</f>
        <v/>
      </c>
      <c r="G267" s="4">
        <f>PROPER(TRIM(Raw_Data!G267))</f>
        <v/>
      </c>
      <c r="H267" s="4">
        <f>PROPER(TRIM(Raw_Data!H267))</f>
        <v/>
      </c>
      <c r="I267" s="4">
        <f>PROPER(TRIM(Raw_Data!I267))</f>
        <v/>
      </c>
      <c r="J267" s="4">
        <f>TRIM(Raw_Data!J267)</f>
        <v/>
      </c>
      <c r="K267" s="4">
        <f>Raw_Data!K267</f>
        <v/>
      </c>
      <c r="L267" s="4">
        <f>IF(TRIM(Raw_Data!L267)="","No Coupon",TRIM(Raw_Data!L267))</f>
        <v/>
      </c>
      <c r="M267" s="4">
        <f>PROPER(TRIM(Raw_Data!M267))</f>
        <v/>
      </c>
      <c r="N267" s="6">
        <f>ROUND(Raw_Data!N267,2)</f>
        <v/>
      </c>
      <c r="O267" s="7">
        <f>IF(COUNTIF($A$2:$A$1201,A267)&gt;1,"DUPLICATE","Unique")</f>
        <v/>
      </c>
      <c r="P267" s="7">
        <f>IF(COUNTIF($J$2:$J$1201,J267)&gt;1,"DUPLICATE","Unique")</f>
        <v/>
      </c>
      <c r="Q267" s="4">
        <f>IF(TRIM(Raw_Data!L267)="","Yes","No")</f>
        <v/>
      </c>
      <c r="R267" s="4">
        <f>IF(ISNUMBER(B267),"Valid","INVALID")</f>
        <v/>
      </c>
    </row>
    <row r="268">
      <c r="A268" s="4">
        <f>TRIM(Raw_Data!A268)</f>
        <v/>
      </c>
      <c r="B268" s="5">
        <f>Raw_Data!B268</f>
        <v/>
      </c>
      <c r="C268" s="4">
        <f>TRIM(Raw_Data!C268)</f>
        <v/>
      </c>
      <c r="D268" s="4">
        <f>PROPER(TRIM(Raw_Data!D268))</f>
        <v/>
      </c>
      <c r="E268" s="4">
        <f>Raw_Data!E268</f>
        <v/>
      </c>
      <c r="F268" s="6">
        <f>ROUND(Raw_Data!F268,2)</f>
        <v/>
      </c>
      <c r="G268" s="4">
        <f>PROPER(TRIM(Raw_Data!G268))</f>
        <v/>
      </c>
      <c r="H268" s="4">
        <f>PROPER(TRIM(Raw_Data!H268))</f>
        <v/>
      </c>
      <c r="I268" s="4">
        <f>PROPER(TRIM(Raw_Data!I268))</f>
        <v/>
      </c>
      <c r="J268" s="4">
        <f>TRIM(Raw_Data!J268)</f>
        <v/>
      </c>
      <c r="K268" s="4">
        <f>Raw_Data!K268</f>
        <v/>
      </c>
      <c r="L268" s="4">
        <f>IF(TRIM(Raw_Data!L268)="","No Coupon",TRIM(Raw_Data!L268))</f>
        <v/>
      </c>
      <c r="M268" s="4">
        <f>PROPER(TRIM(Raw_Data!M268))</f>
        <v/>
      </c>
      <c r="N268" s="6">
        <f>ROUND(Raw_Data!N268,2)</f>
        <v/>
      </c>
      <c r="O268" s="7">
        <f>IF(COUNTIF($A$2:$A$1201,A268)&gt;1,"DUPLICATE","Unique")</f>
        <v/>
      </c>
      <c r="P268" s="7">
        <f>IF(COUNTIF($J$2:$J$1201,J268)&gt;1,"DUPLICATE","Unique")</f>
        <v/>
      </c>
      <c r="Q268" s="4">
        <f>IF(TRIM(Raw_Data!L268)="","Yes","No")</f>
        <v/>
      </c>
      <c r="R268" s="4">
        <f>IF(ISNUMBER(B268),"Valid","INVALID")</f>
        <v/>
      </c>
    </row>
    <row r="269">
      <c r="A269" s="4">
        <f>TRIM(Raw_Data!A269)</f>
        <v/>
      </c>
      <c r="B269" s="5">
        <f>Raw_Data!B269</f>
        <v/>
      </c>
      <c r="C269" s="4">
        <f>TRIM(Raw_Data!C269)</f>
        <v/>
      </c>
      <c r="D269" s="4">
        <f>PROPER(TRIM(Raw_Data!D269))</f>
        <v/>
      </c>
      <c r="E269" s="4">
        <f>Raw_Data!E269</f>
        <v/>
      </c>
      <c r="F269" s="6">
        <f>ROUND(Raw_Data!F269,2)</f>
        <v/>
      </c>
      <c r="G269" s="4">
        <f>PROPER(TRIM(Raw_Data!G269))</f>
        <v/>
      </c>
      <c r="H269" s="4">
        <f>PROPER(TRIM(Raw_Data!H269))</f>
        <v/>
      </c>
      <c r="I269" s="4">
        <f>PROPER(TRIM(Raw_Data!I269))</f>
        <v/>
      </c>
      <c r="J269" s="4">
        <f>TRIM(Raw_Data!J269)</f>
        <v/>
      </c>
      <c r="K269" s="4">
        <f>Raw_Data!K269</f>
        <v/>
      </c>
      <c r="L269" s="4">
        <f>IF(TRIM(Raw_Data!L269)="","No Coupon",TRIM(Raw_Data!L269))</f>
        <v/>
      </c>
      <c r="M269" s="4">
        <f>PROPER(TRIM(Raw_Data!M269))</f>
        <v/>
      </c>
      <c r="N269" s="6">
        <f>ROUND(Raw_Data!N269,2)</f>
        <v/>
      </c>
      <c r="O269" s="7">
        <f>IF(COUNTIF($A$2:$A$1201,A269)&gt;1,"DUPLICATE","Unique")</f>
        <v/>
      </c>
      <c r="P269" s="7">
        <f>IF(COUNTIF($J$2:$J$1201,J269)&gt;1,"DUPLICATE","Unique")</f>
        <v/>
      </c>
      <c r="Q269" s="4">
        <f>IF(TRIM(Raw_Data!L269)="","Yes","No")</f>
        <v/>
      </c>
      <c r="R269" s="4">
        <f>IF(ISNUMBER(B269),"Valid","INVALID")</f>
        <v/>
      </c>
    </row>
    <row r="270">
      <c r="A270" s="4">
        <f>TRIM(Raw_Data!A270)</f>
        <v/>
      </c>
      <c r="B270" s="5">
        <f>Raw_Data!B270</f>
        <v/>
      </c>
      <c r="C270" s="4">
        <f>TRIM(Raw_Data!C270)</f>
        <v/>
      </c>
      <c r="D270" s="4">
        <f>PROPER(TRIM(Raw_Data!D270))</f>
        <v/>
      </c>
      <c r="E270" s="4">
        <f>Raw_Data!E270</f>
        <v/>
      </c>
      <c r="F270" s="6">
        <f>ROUND(Raw_Data!F270,2)</f>
        <v/>
      </c>
      <c r="G270" s="4">
        <f>PROPER(TRIM(Raw_Data!G270))</f>
        <v/>
      </c>
      <c r="H270" s="4">
        <f>PROPER(TRIM(Raw_Data!H270))</f>
        <v/>
      </c>
      <c r="I270" s="4">
        <f>PROPER(TRIM(Raw_Data!I270))</f>
        <v/>
      </c>
      <c r="J270" s="4">
        <f>TRIM(Raw_Data!J270)</f>
        <v/>
      </c>
      <c r="K270" s="4">
        <f>Raw_Data!K270</f>
        <v/>
      </c>
      <c r="L270" s="4">
        <f>IF(TRIM(Raw_Data!L270)="","No Coupon",TRIM(Raw_Data!L270))</f>
        <v/>
      </c>
      <c r="M270" s="4">
        <f>PROPER(TRIM(Raw_Data!M270))</f>
        <v/>
      </c>
      <c r="N270" s="6">
        <f>ROUND(Raw_Data!N270,2)</f>
        <v/>
      </c>
      <c r="O270" s="7">
        <f>IF(COUNTIF($A$2:$A$1201,A270)&gt;1,"DUPLICATE","Unique")</f>
        <v/>
      </c>
      <c r="P270" s="7">
        <f>IF(COUNTIF($J$2:$J$1201,J270)&gt;1,"DUPLICATE","Unique")</f>
        <v/>
      </c>
      <c r="Q270" s="4">
        <f>IF(TRIM(Raw_Data!L270)="","Yes","No")</f>
        <v/>
      </c>
      <c r="R270" s="4">
        <f>IF(ISNUMBER(B270),"Valid","INVALID")</f>
        <v/>
      </c>
    </row>
    <row r="271">
      <c r="A271" s="4">
        <f>TRIM(Raw_Data!A271)</f>
        <v/>
      </c>
      <c r="B271" s="5">
        <f>Raw_Data!B271</f>
        <v/>
      </c>
      <c r="C271" s="4">
        <f>TRIM(Raw_Data!C271)</f>
        <v/>
      </c>
      <c r="D271" s="4">
        <f>PROPER(TRIM(Raw_Data!D271))</f>
        <v/>
      </c>
      <c r="E271" s="4">
        <f>Raw_Data!E271</f>
        <v/>
      </c>
      <c r="F271" s="6">
        <f>ROUND(Raw_Data!F271,2)</f>
        <v/>
      </c>
      <c r="G271" s="4">
        <f>PROPER(TRIM(Raw_Data!G271))</f>
        <v/>
      </c>
      <c r="H271" s="4">
        <f>PROPER(TRIM(Raw_Data!H271))</f>
        <v/>
      </c>
      <c r="I271" s="4">
        <f>PROPER(TRIM(Raw_Data!I271))</f>
        <v/>
      </c>
      <c r="J271" s="4">
        <f>TRIM(Raw_Data!J271)</f>
        <v/>
      </c>
      <c r="K271" s="4">
        <f>Raw_Data!K271</f>
        <v/>
      </c>
      <c r="L271" s="4">
        <f>IF(TRIM(Raw_Data!L271)="","No Coupon",TRIM(Raw_Data!L271))</f>
        <v/>
      </c>
      <c r="M271" s="4">
        <f>PROPER(TRIM(Raw_Data!M271))</f>
        <v/>
      </c>
      <c r="N271" s="6">
        <f>ROUND(Raw_Data!N271,2)</f>
        <v/>
      </c>
      <c r="O271" s="7">
        <f>IF(COUNTIF($A$2:$A$1201,A271)&gt;1,"DUPLICATE","Unique")</f>
        <v/>
      </c>
      <c r="P271" s="7">
        <f>IF(COUNTIF($J$2:$J$1201,J271)&gt;1,"DUPLICATE","Unique")</f>
        <v/>
      </c>
      <c r="Q271" s="4">
        <f>IF(TRIM(Raw_Data!L271)="","Yes","No")</f>
        <v/>
      </c>
      <c r="R271" s="4">
        <f>IF(ISNUMBER(B271),"Valid","INVALID")</f>
        <v/>
      </c>
    </row>
    <row r="272">
      <c r="A272" s="4">
        <f>TRIM(Raw_Data!A272)</f>
        <v/>
      </c>
      <c r="B272" s="5">
        <f>Raw_Data!B272</f>
        <v/>
      </c>
      <c r="C272" s="4">
        <f>TRIM(Raw_Data!C272)</f>
        <v/>
      </c>
      <c r="D272" s="4">
        <f>PROPER(TRIM(Raw_Data!D272))</f>
        <v/>
      </c>
      <c r="E272" s="4">
        <f>Raw_Data!E272</f>
        <v/>
      </c>
      <c r="F272" s="6">
        <f>ROUND(Raw_Data!F272,2)</f>
        <v/>
      </c>
      <c r="G272" s="4">
        <f>PROPER(TRIM(Raw_Data!G272))</f>
        <v/>
      </c>
      <c r="H272" s="4">
        <f>PROPER(TRIM(Raw_Data!H272))</f>
        <v/>
      </c>
      <c r="I272" s="4">
        <f>PROPER(TRIM(Raw_Data!I272))</f>
        <v/>
      </c>
      <c r="J272" s="4">
        <f>TRIM(Raw_Data!J272)</f>
        <v/>
      </c>
      <c r="K272" s="4">
        <f>Raw_Data!K272</f>
        <v/>
      </c>
      <c r="L272" s="4">
        <f>IF(TRIM(Raw_Data!L272)="","No Coupon",TRIM(Raw_Data!L272))</f>
        <v/>
      </c>
      <c r="M272" s="4">
        <f>PROPER(TRIM(Raw_Data!M272))</f>
        <v/>
      </c>
      <c r="N272" s="6">
        <f>ROUND(Raw_Data!N272,2)</f>
        <v/>
      </c>
      <c r="O272" s="7">
        <f>IF(COUNTIF($A$2:$A$1201,A272)&gt;1,"DUPLICATE","Unique")</f>
        <v/>
      </c>
      <c r="P272" s="7">
        <f>IF(COUNTIF($J$2:$J$1201,J272)&gt;1,"DUPLICATE","Unique")</f>
        <v/>
      </c>
      <c r="Q272" s="4">
        <f>IF(TRIM(Raw_Data!L272)="","Yes","No")</f>
        <v/>
      </c>
      <c r="R272" s="4">
        <f>IF(ISNUMBER(B272),"Valid","INVALID")</f>
        <v/>
      </c>
    </row>
    <row r="273">
      <c r="A273" s="4">
        <f>TRIM(Raw_Data!A273)</f>
        <v/>
      </c>
      <c r="B273" s="5">
        <f>Raw_Data!B273</f>
        <v/>
      </c>
      <c r="C273" s="4">
        <f>TRIM(Raw_Data!C273)</f>
        <v/>
      </c>
      <c r="D273" s="4">
        <f>PROPER(TRIM(Raw_Data!D273))</f>
        <v/>
      </c>
      <c r="E273" s="4">
        <f>Raw_Data!E273</f>
        <v/>
      </c>
      <c r="F273" s="6">
        <f>ROUND(Raw_Data!F273,2)</f>
        <v/>
      </c>
      <c r="G273" s="4">
        <f>PROPER(TRIM(Raw_Data!G273))</f>
        <v/>
      </c>
      <c r="H273" s="4">
        <f>PROPER(TRIM(Raw_Data!H273))</f>
        <v/>
      </c>
      <c r="I273" s="4">
        <f>PROPER(TRIM(Raw_Data!I273))</f>
        <v/>
      </c>
      <c r="J273" s="4">
        <f>TRIM(Raw_Data!J273)</f>
        <v/>
      </c>
      <c r="K273" s="4">
        <f>Raw_Data!K273</f>
        <v/>
      </c>
      <c r="L273" s="4">
        <f>IF(TRIM(Raw_Data!L273)="","No Coupon",TRIM(Raw_Data!L273))</f>
        <v/>
      </c>
      <c r="M273" s="4">
        <f>PROPER(TRIM(Raw_Data!M273))</f>
        <v/>
      </c>
      <c r="N273" s="6">
        <f>ROUND(Raw_Data!N273,2)</f>
        <v/>
      </c>
      <c r="O273" s="7">
        <f>IF(COUNTIF($A$2:$A$1201,A273)&gt;1,"DUPLICATE","Unique")</f>
        <v/>
      </c>
      <c r="P273" s="7">
        <f>IF(COUNTIF($J$2:$J$1201,J273)&gt;1,"DUPLICATE","Unique")</f>
        <v/>
      </c>
      <c r="Q273" s="4">
        <f>IF(TRIM(Raw_Data!L273)="","Yes","No")</f>
        <v/>
      </c>
      <c r="R273" s="4">
        <f>IF(ISNUMBER(B273),"Valid","INVALID")</f>
        <v/>
      </c>
    </row>
    <row r="274">
      <c r="A274" s="4">
        <f>TRIM(Raw_Data!A274)</f>
        <v/>
      </c>
      <c r="B274" s="5">
        <f>Raw_Data!B274</f>
        <v/>
      </c>
      <c r="C274" s="4">
        <f>TRIM(Raw_Data!C274)</f>
        <v/>
      </c>
      <c r="D274" s="4">
        <f>PROPER(TRIM(Raw_Data!D274))</f>
        <v/>
      </c>
      <c r="E274" s="4">
        <f>Raw_Data!E274</f>
        <v/>
      </c>
      <c r="F274" s="6">
        <f>ROUND(Raw_Data!F274,2)</f>
        <v/>
      </c>
      <c r="G274" s="4">
        <f>PROPER(TRIM(Raw_Data!G274))</f>
        <v/>
      </c>
      <c r="H274" s="4">
        <f>PROPER(TRIM(Raw_Data!H274))</f>
        <v/>
      </c>
      <c r="I274" s="4">
        <f>PROPER(TRIM(Raw_Data!I274))</f>
        <v/>
      </c>
      <c r="J274" s="4">
        <f>TRIM(Raw_Data!J274)</f>
        <v/>
      </c>
      <c r="K274" s="4">
        <f>Raw_Data!K274</f>
        <v/>
      </c>
      <c r="L274" s="4">
        <f>IF(TRIM(Raw_Data!L274)="","No Coupon",TRIM(Raw_Data!L274))</f>
        <v/>
      </c>
      <c r="M274" s="4">
        <f>PROPER(TRIM(Raw_Data!M274))</f>
        <v/>
      </c>
      <c r="N274" s="6">
        <f>ROUND(Raw_Data!N274,2)</f>
        <v/>
      </c>
      <c r="O274" s="7">
        <f>IF(COUNTIF($A$2:$A$1201,A274)&gt;1,"DUPLICATE","Unique")</f>
        <v/>
      </c>
      <c r="P274" s="7">
        <f>IF(COUNTIF($J$2:$J$1201,J274)&gt;1,"DUPLICATE","Unique")</f>
        <v/>
      </c>
      <c r="Q274" s="4">
        <f>IF(TRIM(Raw_Data!L274)="","Yes","No")</f>
        <v/>
      </c>
      <c r="R274" s="4">
        <f>IF(ISNUMBER(B274),"Valid","INVALID")</f>
        <v/>
      </c>
    </row>
    <row r="275">
      <c r="A275" s="4">
        <f>TRIM(Raw_Data!A275)</f>
        <v/>
      </c>
      <c r="B275" s="5">
        <f>Raw_Data!B275</f>
        <v/>
      </c>
      <c r="C275" s="4">
        <f>TRIM(Raw_Data!C275)</f>
        <v/>
      </c>
      <c r="D275" s="4">
        <f>PROPER(TRIM(Raw_Data!D275))</f>
        <v/>
      </c>
      <c r="E275" s="4">
        <f>Raw_Data!E275</f>
        <v/>
      </c>
      <c r="F275" s="6">
        <f>ROUND(Raw_Data!F275,2)</f>
        <v/>
      </c>
      <c r="G275" s="4">
        <f>PROPER(TRIM(Raw_Data!G275))</f>
        <v/>
      </c>
      <c r="H275" s="4">
        <f>PROPER(TRIM(Raw_Data!H275))</f>
        <v/>
      </c>
      <c r="I275" s="4">
        <f>PROPER(TRIM(Raw_Data!I275))</f>
        <v/>
      </c>
      <c r="J275" s="4">
        <f>TRIM(Raw_Data!J275)</f>
        <v/>
      </c>
      <c r="K275" s="4">
        <f>Raw_Data!K275</f>
        <v/>
      </c>
      <c r="L275" s="4">
        <f>IF(TRIM(Raw_Data!L275)="","No Coupon",TRIM(Raw_Data!L275))</f>
        <v/>
      </c>
      <c r="M275" s="4">
        <f>PROPER(TRIM(Raw_Data!M275))</f>
        <v/>
      </c>
      <c r="N275" s="6">
        <f>ROUND(Raw_Data!N275,2)</f>
        <v/>
      </c>
      <c r="O275" s="7">
        <f>IF(COUNTIF($A$2:$A$1201,A275)&gt;1,"DUPLICATE","Unique")</f>
        <v/>
      </c>
      <c r="P275" s="7">
        <f>IF(COUNTIF($J$2:$J$1201,J275)&gt;1,"DUPLICATE","Unique")</f>
        <v/>
      </c>
      <c r="Q275" s="4">
        <f>IF(TRIM(Raw_Data!L275)="","Yes","No")</f>
        <v/>
      </c>
      <c r="R275" s="4">
        <f>IF(ISNUMBER(B275),"Valid","INVALID")</f>
        <v/>
      </c>
    </row>
    <row r="276">
      <c r="A276" s="4">
        <f>TRIM(Raw_Data!A276)</f>
        <v/>
      </c>
      <c r="B276" s="5">
        <f>Raw_Data!B276</f>
        <v/>
      </c>
      <c r="C276" s="4">
        <f>TRIM(Raw_Data!C276)</f>
        <v/>
      </c>
      <c r="D276" s="4">
        <f>PROPER(TRIM(Raw_Data!D276))</f>
        <v/>
      </c>
      <c r="E276" s="4">
        <f>Raw_Data!E276</f>
        <v/>
      </c>
      <c r="F276" s="6">
        <f>ROUND(Raw_Data!F276,2)</f>
        <v/>
      </c>
      <c r="G276" s="4">
        <f>PROPER(TRIM(Raw_Data!G276))</f>
        <v/>
      </c>
      <c r="H276" s="4">
        <f>PROPER(TRIM(Raw_Data!H276))</f>
        <v/>
      </c>
      <c r="I276" s="4">
        <f>PROPER(TRIM(Raw_Data!I276))</f>
        <v/>
      </c>
      <c r="J276" s="4">
        <f>TRIM(Raw_Data!J276)</f>
        <v/>
      </c>
      <c r="K276" s="4">
        <f>Raw_Data!K276</f>
        <v/>
      </c>
      <c r="L276" s="4">
        <f>IF(TRIM(Raw_Data!L276)="","No Coupon",TRIM(Raw_Data!L276))</f>
        <v/>
      </c>
      <c r="M276" s="4">
        <f>PROPER(TRIM(Raw_Data!M276))</f>
        <v/>
      </c>
      <c r="N276" s="6">
        <f>ROUND(Raw_Data!N276,2)</f>
        <v/>
      </c>
      <c r="O276" s="7">
        <f>IF(COUNTIF($A$2:$A$1201,A276)&gt;1,"DUPLICATE","Unique")</f>
        <v/>
      </c>
      <c r="P276" s="7">
        <f>IF(COUNTIF($J$2:$J$1201,J276)&gt;1,"DUPLICATE","Unique")</f>
        <v/>
      </c>
      <c r="Q276" s="4">
        <f>IF(TRIM(Raw_Data!L276)="","Yes","No")</f>
        <v/>
      </c>
      <c r="R276" s="4">
        <f>IF(ISNUMBER(B276),"Valid","INVALID")</f>
        <v/>
      </c>
    </row>
    <row r="277">
      <c r="A277" s="4">
        <f>TRIM(Raw_Data!A277)</f>
        <v/>
      </c>
      <c r="B277" s="5">
        <f>Raw_Data!B277</f>
        <v/>
      </c>
      <c r="C277" s="4">
        <f>TRIM(Raw_Data!C277)</f>
        <v/>
      </c>
      <c r="D277" s="4">
        <f>PROPER(TRIM(Raw_Data!D277))</f>
        <v/>
      </c>
      <c r="E277" s="4">
        <f>Raw_Data!E277</f>
        <v/>
      </c>
      <c r="F277" s="6">
        <f>ROUND(Raw_Data!F277,2)</f>
        <v/>
      </c>
      <c r="G277" s="4">
        <f>PROPER(TRIM(Raw_Data!G277))</f>
        <v/>
      </c>
      <c r="H277" s="4">
        <f>PROPER(TRIM(Raw_Data!H277))</f>
        <v/>
      </c>
      <c r="I277" s="4">
        <f>PROPER(TRIM(Raw_Data!I277))</f>
        <v/>
      </c>
      <c r="J277" s="4">
        <f>TRIM(Raw_Data!J277)</f>
        <v/>
      </c>
      <c r="K277" s="4">
        <f>Raw_Data!K277</f>
        <v/>
      </c>
      <c r="L277" s="4">
        <f>IF(TRIM(Raw_Data!L277)="","No Coupon",TRIM(Raw_Data!L277))</f>
        <v/>
      </c>
      <c r="M277" s="4">
        <f>PROPER(TRIM(Raw_Data!M277))</f>
        <v/>
      </c>
      <c r="N277" s="6">
        <f>ROUND(Raw_Data!N277,2)</f>
        <v/>
      </c>
      <c r="O277" s="7">
        <f>IF(COUNTIF($A$2:$A$1201,A277)&gt;1,"DUPLICATE","Unique")</f>
        <v/>
      </c>
      <c r="P277" s="7">
        <f>IF(COUNTIF($J$2:$J$1201,J277)&gt;1,"DUPLICATE","Unique")</f>
        <v/>
      </c>
      <c r="Q277" s="4">
        <f>IF(TRIM(Raw_Data!L277)="","Yes","No")</f>
        <v/>
      </c>
      <c r="R277" s="4">
        <f>IF(ISNUMBER(B277),"Valid","INVALID")</f>
        <v/>
      </c>
    </row>
    <row r="278">
      <c r="A278" s="4">
        <f>TRIM(Raw_Data!A278)</f>
        <v/>
      </c>
      <c r="B278" s="5">
        <f>Raw_Data!B278</f>
        <v/>
      </c>
      <c r="C278" s="4">
        <f>TRIM(Raw_Data!C278)</f>
        <v/>
      </c>
      <c r="D278" s="4">
        <f>PROPER(TRIM(Raw_Data!D278))</f>
        <v/>
      </c>
      <c r="E278" s="4">
        <f>Raw_Data!E278</f>
        <v/>
      </c>
      <c r="F278" s="6">
        <f>ROUND(Raw_Data!F278,2)</f>
        <v/>
      </c>
      <c r="G278" s="4">
        <f>PROPER(TRIM(Raw_Data!G278))</f>
        <v/>
      </c>
      <c r="H278" s="4">
        <f>PROPER(TRIM(Raw_Data!H278))</f>
        <v/>
      </c>
      <c r="I278" s="4">
        <f>PROPER(TRIM(Raw_Data!I278))</f>
        <v/>
      </c>
      <c r="J278" s="4">
        <f>TRIM(Raw_Data!J278)</f>
        <v/>
      </c>
      <c r="K278" s="4">
        <f>Raw_Data!K278</f>
        <v/>
      </c>
      <c r="L278" s="4">
        <f>IF(TRIM(Raw_Data!L278)="","No Coupon",TRIM(Raw_Data!L278))</f>
        <v/>
      </c>
      <c r="M278" s="4">
        <f>PROPER(TRIM(Raw_Data!M278))</f>
        <v/>
      </c>
      <c r="N278" s="6">
        <f>ROUND(Raw_Data!N278,2)</f>
        <v/>
      </c>
      <c r="O278" s="7">
        <f>IF(COUNTIF($A$2:$A$1201,A278)&gt;1,"DUPLICATE","Unique")</f>
        <v/>
      </c>
      <c r="P278" s="7">
        <f>IF(COUNTIF($J$2:$J$1201,J278)&gt;1,"DUPLICATE","Unique")</f>
        <v/>
      </c>
      <c r="Q278" s="4">
        <f>IF(TRIM(Raw_Data!L278)="","Yes","No")</f>
        <v/>
      </c>
      <c r="R278" s="4">
        <f>IF(ISNUMBER(B278),"Valid","INVALID")</f>
        <v/>
      </c>
    </row>
    <row r="279">
      <c r="A279" s="4">
        <f>TRIM(Raw_Data!A279)</f>
        <v/>
      </c>
      <c r="B279" s="5">
        <f>Raw_Data!B279</f>
        <v/>
      </c>
      <c r="C279" s="4">
        <f>TRIM(Raw_Data!C279)</f>
        <v/>
      </c>
      <c r="D279" s="4">
        <f>PROPER(TRIM(Raw_Data!D279))</f>
        <v/>
      </c>
      <c r="E279" s="4">
        <f>Raw_Data!E279</f>
        <v/>
      </c>
      <c r="F279" s="6">
        <f>ROUND(Raw_Data!F279,2)</f>
        <v/>
      </c>
      <c r="G279" s="4">
        <f>PROPER(TRIM(Raw_Data!G279))</f>
        <v/>
      </c>
      <c r="H279" s="4">
        <f>PROPER(TRIM(Raw_Data!H279))</f>
        <v/>
      </c>
      <c r="I279" s="4">
        <f>PROPER(TRIM(Raw_Data!I279))</f>
        <v/>
      </c>
      <c r="J279" s="4">
        <f>TRIM(Raw_Data!J279)</f>
        <v/>
      </c>
      <c r="K279" s="4">
        <f>Raw_Data!K279</f>
        <v/>
      </c>
      <c r="L279" s="4">
        <f>IF(TRIM(Raw_Data!L279)="","No Coupon",TRIM(Raw_Data!L279))</f>
        <v/>
      </c>
      <c r="M279" s="4">
        <f>PROPER(TRIM(Raw_Data!M279))</f>
        <v/>
      </c>
      <c r="N279" s="6">
        <f>ROUND(Raw_Data!N279,2)</f>
        <v/>
      </c>
      <c r="O279" s="7">
        <f>IF(COUNTIF($A$2:$A$1201,A279)&gt;1,"DUPLICATE","Unique")</f>
        <v/>
      </c>
      <c r="P279" s="7">
        <f>IF(COUNTIF($J$2:$J$1201,J279)&gt;1,"DUPLICATE","Unique")</f>
        <v/>
      </c>
      <c r="Q279" s="4">
        <f>IF(TRIM(Raw_Data!L279)="","Yes","No")</f>
        <v/>
      </c>
      <c r="R279" s="4">
        <f>IF(ISNUMBER(B279),"Valid","INVALID")</f>
        <v/>
      </c>
    </row>
    <row r="280">
      <c r="A280" s="4">
        <f>TRIM(Raw_Data!A280)</f>
        <v/>
      </c>
      <c r="B280" s="5">
        <f>Raw_Data!B280</f>
        <v/>
      </c>
      <c r="C280" s="4">
        <f>TRIM(Raw_Data!C280)</f>
        <v/>
      </c>
      <c r="D280" s="4">
        <f>PROPER(TRIM(Raw_Data!D280))</f>
        <v/>
      </c>
      <c r="E280" s="4">
        <f>Raw_Data!E280</f>
        <v/>
      </c>
      <c r="F280" s="6">
        <f>ROUND(Raw_Data!F280,2)</f>
        <v/>
      </c>
      <c r="G280" s="4">
        <f>PROPER(TRIM(Raw_Data!G280))</f>
        <v/>
      </c>
      <c r="H280" s="4">
        <f>PROPER(TRIM(Raw_Data!H280))</f>
        <v/>
      </c>
      <c r="I280" s="4">
        <f>PROPER(TRIM(Raw_Data!I280))</f>
        <v/>
      </c>
      <c r="J280" s="4">
        <f>TRIM(Raw_Data!J280)</f>
        <v/>
      </c>
      <c r="K280" s="4">
        <f>Raw_Data!K280</f>
        <v/>
      </c>
      <c r="L280" s="4">
        <f>IF(TRIM(Raw_Data!L280)="","No Coupon",TRIM(Raw_Data!L280))</f>
        <v/>
      </c>
      <c r="M280" s="4">
        <f>PROPER(TRIM(Raw_Data!M280))</f>
        <v/>
      </c>
      <c r="N280" s="6">
        <f>ROUND(Raw_Data!N280,2)</f>
        <v/>
      </c>
      <c r="O280" s="7">
        <f>IF(COUNTIF($A$2:$A$1201,A280)&gt;1,"DUPLICATE","Unique")</f>
        <v/>
      </c>
      <c r="P280" s="7">
        <f>IF(COUNTIF($J$2:$J$1201,J280)&gt;1,"DUPLICATE","Unique")</f>
        <v/>
      </c>
      <c r="Q280" s="4">
        <f>IF(TRIM(Raw_Data!L280)="","Yes","No")</f>
        <v/>
      </c>
      <c r="R280" s="4">
        <f>IF(ISNUMBER(B280),"Valid","INVALID")</f>
        <v/>
      </c>
    </row>
    <row r="281">
      <c r="A281" s="4">
        <f>TRIM(Raw_Data!A281)</f>
        <v/>
      </c>
      <c r="B281" s="5">
        <f>Raw_Data!B281</f>
        <v/>
      </c>
      <c r="C281" s="4">
        <f>TRIM(Raw_Data!C281)</f>
        <v/>
      </c>
      <c r="D281" s="4">
        <f>PROPER(TRIM(Raw_Data!D281))</f>
        <v/>
      </c>
      <c r="E281" s="4">
        <f>Raw_Data!E281</f>
        <v/>
      </c>
      <c r="F281" s="6">
        <f>ROUND(Raw_Data!F281,2)</f>
        <v/>
      </c>
      <c r="G281" s="4">
        <f>PROPER(TRIM(Raw_Data!G281))</f>
        <v/>
      </c>
      <c r="H281" s="4">
        <f>PROPER(TRIM(Raw_Data!H281))</f>
        <v/>
      </c>
      <c r="I281" s="4">
        <f>PROPER(TRIM(Raw_Data!I281))</f>
        <v/>
      </c>
      <c r="J281" s="4">
        <f>TRIM(Raw_Data!J281)</f>
        <v/>
      </c>
      <c r="K281" s="4">
        <f>Raw_Data!K281</f>
        <v/>
      </c>
      <c r="L281" s="4">
        <f>IF(TRIM(Raw_Data!L281)="","No Coupon",TRIM(Raw_Data!L281))</f>
        <v/>
      </c>
      <c r="M281" s="4">
        <f>PROPER(TRIM(Raw_Data!M281))</f>
        <v/>
      </c>
      <c r="N281" s="6">
        <f>ROUND(Raw_Data!N281,2)</f>
        <v/>
      </c>
      <c r="O281" s="7">
        <f>IF(COUNTIF($A$2:$A$1201,A281)&gt;1,"DUPLICATE","Unique")</f>
        <v/>
      </c>
      <c r="P281" s="7">
        <f>IF(COUNTIF($J$2:$J$1201,J281)&gt;1,"DUPLICATE","Unique")</f>
        <v/>
      </c>
      <c r="Q281" s="4">
        <f>IF(TRIM(Raw_Data!L281)="","Yes","No")</f>
        <v/>
      </c>
      <c r="R281" s="4">
        <f>IF(ISNUMBER(B281),"Valid","INVALID")</f>
        <v/>
      </c>
    </row>
    <row r="282">
      <c r="A282" s="4">
        <f>TRIM(Raw_Data!A282)</f>
        <v/>
      </c>
      <c r="B282" s="5">
        <f>Raw_Data!B282</f>
        <v/>
      </c>
      <c r="C282" s="4">
        <f>TRIM(Raw_Data!C282)</f>
        <v/>
      </c>
      <c r="D282" s="4">
        <f>PROPER(TRIM(Raw_Data!D282))</f>
        <v/>
      </c>
      <c r="E282" s="4">
        <f>Raw_Data!E282</f>
        <v/>
      </c>
      <c r="F282" s="6">
        <f>ROUND(Raw_Data!F282,2)</f>
        <v/>
      </c>
      <c r="G282" s="4">
        <f>PROPER(TRIM(Raw_Data!G282))</f>
        <v/>
      </c>
      <c r="H282" s="4">
        <f>PROPER(TRIM(Raw_Data!H282))</f>
        <v/>
      </c>
      <c r="I282" s="4">
        <f>PROPER(TRIM(Raw_Data!I282))</f>
        <v/>
      </c>
      <c r="J282" s="4">
        <f>TRIM(Raw_Data!J282)</f>
        <v/>
      </c>
      <c r="K282" s="4">
        <f>Raw_Data!K282</f>
        <v/>
      </c>
      <c r="L282" s="4">
        <f>IF(TRIM(Raw_Data!L282)="","No Coupon",TRIM(Raw_Data!L282))</f>
        <v/>
      </c>
      <c r="M282" s="4">
        <f>PROPER(TRIM(Raw_Data!M282))</f>
        <v/>
      </c>
      <c r="N282" s="6">
        <f>ROUND(Raw_Data!N282,2)</f>
        <v/>
      </c>
      <c r="O282" s="7">
        <f>IF(COUNTIF($A$2:$A$1201,A282)&gt;1,"DUPLICATE","Unique")</f>
        <v/>
      </c>
      <c r="P282" s="7">
        <f>IF(COUNTIF($J$2:$J$1201,J282)&gt;1,"DUPLICATE","Unique")</f>
        <v/>
      </c>
      <c r="Q282" s="4">
        <f>IF(TRIM(Raw_Data!L282)="","Yes","No")</f>
        <v/>
      </c>
      <c r="R282" s="4">
        <f>IF(ISNUMBER(B282),"Valid","INVALID")</f>
        <v/>
      </c>
    </row>
    <row r="283">
      <c r="A283" s="4">
        <f>TRIM(Raw_Data!A283)</f>
        <v/>
      </c>
      <c r="B283" s="5">
        <f>Raw_Data!B283</f>
        <v/>
      </c>
      <c r="C283" s="4">
        <f>TRIM(Raw_Data!C283)</f>
        <v/>
      </c>
      <c r="D283" s="4">
        <f>PROPER(TRIM(Raw_Data!D283))</f>
        <v/>
      </c>
      <c r="E283" s="4">
        <f>Raw_Data!E283</f>
        <v/>
      </c>
      <c r="F283" s="6">
        <f>ROUND(Raw_Data!F283,2)</f>
        <v/>
      </c>
      <c r="G283" s="4">
        <f>PROPER(TRIM(Raw_Data!G283))</f>
        <v/>
      </c>
      <c r="H283" s="4">
        <f>PROPER(TRIM(Raw_Data!H283))</f>
        <v/>
      </c>
      <c r="I283" s="4">
        <f>PROPER(TRIM(Raw_Data!I283))</f>
        <v/>
      </c>
      <c r="J283" s="4">
        <f>TRIM(Raw_Data!J283)</f>
        <v/>
      </c>
      <c r="K283" s="4">
        <f>Raw_Data!K283</f>
        <v/>
      </c>
      <c r="L283" s="4">
        <f>IF(TRIM(Raw_Data!L283)="","No Coupon",TRIM(Raw_Data!L283))</f>
        <v/>
      </c>
      <c r="M283" s="4">
        <f>PROPER(TRIM(Raw_Data!M283))</f>
        <v/>
      </c>
      <c r="N283" s="6">
        <f>ROUND(Raw_Data!N283,2)</f>
        <v/>
      </c>
      <c r="O283" s="7">
        <f>IF(COUNTIF($A$2:$A$1201,A283)&gt;1,"DUPLICATE","Unique")</f>
        <v/>
      </c>
      <c r="P283" s="7">
        <f>IF(COUNTIF($J$2:$J$1201,J283)&gt;1,"DUPLICATE","Unique")</f>
        <v/>
      </c>
      <c r="Q283" s="4">
        <f>IF(TRIM(Raw_Data!L283)="","Yes","No")</f>
        <v/>
      </c>
      <c r="R283" s="4">
        <f>IF(ISNUMBER(B283),"Valid","INVALID")</f>
        <v/>
      </c>
    </row>
    <row r="284">
      <c r="A284" s="4">
        <f>TRIM(Raw_Data!A284)</f>
        <v/>
      </c>
      <c r="B284" s="5">
        <f>Raw_Data!B284</f>
        <v/>
      </c>
      <c r="C284" s="4">
        <f>TRIM(Raw_Data!C284)</f>
        <v/>
      </c>
      <c r="D284" s="4">
        <f>PROPER(TRIM(Raw_Data!D284))</f>
        <v/>
      </c>
      <c r="E284" s="4">
        <f>Raw_Data!E284</f>
        <v/>
      </c>
      <c r="F284" s="6">
        <f>ROUND(Raw_Data!F284,2)</f>
        <v/>
      </c>
      <c r="G284" s="4">
        <f>PROPER(TRIM(Raw_Data!G284))</f>
        <v/>
      </c>
      <c r="H284" s="4">
        <f>PROPER(TRIM(Raw_Data!H284))</f>
        <v/>
      </c>
      <c r="I284" s="4">
        <f>PROPER(TRIM(Raw_Data!I284))</f>
        <v/>
      </c>
      <c r="J284" s="4">
        <f>TRIM(Raw_Data!J284)</f>
        <v/>
      </c>
      <c r="K284" s="4">
        <f>Raw_Data!K284</f>
        <v/>
      </c>
      <c r="L284" s="4">
        <f>IF(TRIM(Raw_Data!L284)="","No Coupon",TRIM(Raw_Data!L284))</f>
        <v/>
      </c>
      <c r="M284" s="4">
        <f>PROPER(TRIM(Raw_Data!M284))</f>
        <v/>
      </c>
      <c r="N284" s="6">
        <f>ROUND(Raw_Data!N284,2)</f>
        <v/>
      </c>
      <c r="O284" s="7">
        <f>IF(COUNTIF($A$2:$A$1201,A284)&gt;1,"DUPLICATE","Unique")</f>
        <v/>
      </c>
      <c r="P284" s="7">
        <f>IF(COUNTIF($J$2:$J$1201,J284)&gt;1,"DUPLICATE","Unique")</f>
        <v/>
      </c>
      <c r="Q284" s="4">
        <f>IF(TRIM(Raw_Data!L284)="","Yes","No")</f>
        <v/>
      </c>
      <c r="R284" s="4">
        <f>IF(ISNUMBER(B284),"Valid","INVALID")</f>
        <v/>
      </c>
    </row>
    <row r="285">
      <c r="A285" s="4">
        <f>TRIM(Raw_Data!A285)</f>
        <v/>
      </c>
      <c r="B285" s="5">
        <f>Raw_Data!B285</f>
        <v/>
      </c>
      <c r="C285" s="4">
        <f>TRIM(Raw_Data!C285)</f>
        <v/>
      </c>
      <c r="D285" s="4">
        <f>PROPER(TRIM(Raw_Data!D285))</f>
        <v/>
      </c>
      <c r="E285" s="4">
        <f>Raw_Data!E285</f>
        <v/>
      </c>
      <c r="F285" s="6">
        <f>ROUND(Raw_Data!F285,2)</f>
        <v/>
      </c>
      <c r="G285" s="4">
        <f>PROPER(TRIM(Raw_Data!G285))</f>
        <v/>
      </c>
      <c r="H285" s="4">
        <f>PROPER(TRIM(Raw_Data!H285))</f>
        <v/>
      </c>
      <c r="I285" s="4">
        <f>PROPER(TRIM(Raw_Data!I285))</f>
        <v/>
      </c>
      <c r="J285" s="4">
        <f>TRIM(Raw_Data!J285)</f>
        <v/>
      </c>
      <c r="K285" s="4">
        <f>Raw_Data!K285</f>
        <v/>
      </c>
      <c r="L285" s="4">
        <f>IF(TRIM(Raw_Data!L285)="","No Coupon",TRIM(Raw_Data!L285))</f>
        <v/>
      </c>
      <c r="M285" s="4">
        <f>PROPER(TRIM(Raw_Data!M285))</f>
        <v/>
      </c>
      <c r="N285" s="6">
        <f>ROUND(Raw_Data!N285,2)</f>
        <v/>
      </c>
      <c r="O285" s="7">
        <f>IF(COUNTIF($A$2:$A$1201,A285)&gt;1,"DUPLICATE","Unique")</f>
        <v/>
      </c>
      <c r="P285" s="7">
        <f>IF(COUNTIF($J$2:$J$1201,J285)&gt;1,"DUPLICATE","Unique")</f>
        <v/>
      </c>
      <c r="Q285" s="4">
        <f>IF(TRIM(Raw_Data!L285)="","Yes","No")</f>
        <v/>
      </c>
      <c r="R285" s="4">
        <f>IF(ISNUMBER(B285),"Valid","INVALID")</f>
        <v/>
      </c>
    </row>
    <row r="286">
      <c r="A286" s="4">
        <f>TRIM(Raw_Data!A286)</f>
        <v/>
      </c>
      <c r="B286" s="5">
        <f>Raw_Data!B286</f>
        <v/>
      </c>
      <c r="C286" s="4">
        <f>TRIM(Raw_Data!C286)</f>
        <v/>
      </c>
      <c r="D286" s="4">
        <f>PROPER(TRIM(Raw_Data!D286))</f>
        <v/>
      </c>
      <c r="E286" s="4">
        <f>Raw_Data!E286</f>
        <v/>
      </c>
      <c r="F286" s="6">
        <f>ROUND(Raw_Data!F286,2)</f>
        <v/>
      </c>
      <c r="G286" s="4">
        <f>PROPER(TRIM(Raw_Data!G286))</f>
        <v/>
      </c>
      <c r="H286" s="4">
        <f>PROPER(TRIM(Raw_Data!H286))</f>
        <v/>
      </c>
      <c r="I286" s="4">
        <f>PROPER(TRIM(Raw_Data!I286))</f>
        <v/>
      </c>
      <c r="J286" s="4">
        <f>TRIM(Raw_Data!J286)</f>
        <v/>
      </c>
      <c r="K286" s="4">
        <f>Raw_Data!K286</f>
        <v/>
      </c>
      <c r="L286" s="4">
        <f>IF(TRIM(Raw_Data!L286)="","No Coupon",TRIM(Raw_Data!L286))</f>
        <v/>
      </c>
      <c r="M286" s="4">
        <f>PROPER(TRIM(Raw_Data!M286))</f>
        <v/>
      </c>
      <c r="N286" s="6">
        <f>ROUND(Raw_Data!N286,2)</f>
        <v/>
      </c>
      <c r="O286" s="7">
        <f>IF(COUNTIF($A$2:$A$1201,A286)&gt;1,"DUPLICATE","Unique")</f>
        <v/>
      </c>
      <c r="P286" s="7">
        <f>IF(COUNTIF($J$2:$J$1201,J286)&gt;1,"DUPLICATE","Unique")</f>
        <v/>
      </c>
      <c r="Q286" s="4">
        <f>IF(TRIM(Raw_Data!L286)="","Yes","No")</f>
        <v/>
      </c>
      <c r="R286" s="4">
        <f>IF(ISNUMBER(B286),"Valid","INVALID")</f>
        <v/>
      </c>
    </row>
    <row r="287">
      <c r="A287" s="4">
        <f>TRIM(Raw_Data!A287)</f>
        <v/>
      </c>
      <c r="B287" s="5">
        <f>Raw_Data!B287</f>
        <v/>
      </c>
      <c r="C287" s="4">
        <f>TRIM(Raw_Data!C287)</f>
        <v/>
      </c>
      <c r="D287" s="4">
        <f>PROPER(TRIM(Raw_Data!D287))</f>
        <v/>
      </c>
      <c r="E287" s="4">
        <f>Raw_Data!E287</f>
        <v/>
      </c>
      <c r="F287" s="6">
        <f>ROUND(Raw_Data!F287,2)</f>
        <v/>
      </c>
      <c r="G287" s="4">
        <f>PROPER(TRIM(Raw_Data!G287))</f>
        <v/>
      </c>
      <c r="H287" s="4">
        <f>PROPER(TRIM(Raw_Data!H287))</f>
        <v/>
      </c>
      <c r="I287" s="4">
        <f>PROPER(TRIM(Raw_Data!I287))</f>
        <v/>
      </c>
      <c r="J287" s="4">
        <f>TRIM(Raw_Data!J287)</f>
        <v/>
      </c>
      <c r="K287" s="4">
        <f>Raw_Data!K287</f>
        <v/>
      </c>
      <c r="L287" s="4">
        <f>IF(TRIM(Raw_Data!L287)="","No Coupon",TRIM(Raw_Data!L287))</f>
        <v/>
      </c>
      <c r="M287" s="4">
        <f>PROPER(TRIM(Raw_Data!M287))</f>
        <v/>
      </c>
      <c r="N287" s="6">
        <f>ROUND(Raw_Data!N287,2)</f>
        <v/>
      </c>
      <c r="O287" s="7">
        <f>IF(COUNTIF($A$2:$A$1201,A287)&gt;1,"DUPLICATE","Unique")</f>
        <v/>
      </c>
      <c r="P287" s="7">
        <f>IF(COUNTIF($J$2:$J$1201,J287)&gt;1,"DUPLICATE","Unique")</f>
        <v/>
      </c>
      <c r="Q287" s="4">
        <f>IF(TRIM(Raw_Data!L287)="","Yes","No")</f>
        <v/>
      </c>
      <c r="R287" s="4">
        <f>IF(ISNUMBER(B287),"Valid","INVALID")</f>
        <v/>
      </c>
    </row>
    <row r="288">
      <c r="A288" s="4">
        <f>TRIM(Raw_Data!A288)</f>
        <v/>
      </c>
      <c r="B288" s="5">
        <f>Raw_Data!B288</f>
        <v/>
      </c>
      <c r="C288" s="4">
        <f>TRIM(Raw_Data!C288)</f>
        <v/>
      </c>
      <c r="D288" s="4">
        <f>PROPER(TRIM(Raw_Data!D288))</f>
        <v/>
      </c>
      <c r="E288" s="4">
        <f>Raw_Data!E288</f>
        <v/>
      </c>
      <c r="F288" s="6">
        <f>ROUND(Raw_Data!F288,2)</f>
        <v/>
      </c>
      <c r="G288" s="4">
        <f>PROPER(TRIM(Raw_Data!G288))</f>
        <v/>
      </c>
      <c r="H288" s="4">
        <f>PROPER(TRIM(Raw_Data!H288))</f>
        <v/>
      </c>
      <c r="I288" s="4">
        <f>PROPER(TRIM(Raw_Data!I288))</f>
        <v/>
      </c>
      <c r="J288" s="4">
        <f>TRIM(Raw_Data!J288)</f>
        <v/>
      </c>
      <c r="K288" s="4">
        <f>Raw_Data!K288</f>
        <v/>
      </c>
      <c r="L288" s="4">
        <f>IF(TRIM(Raw_Data!L288)="","No Coupon",TRIM(Raw_Data!L288))</f>
        <v/>
      </c>
      <c r="M288" s="4">
        <f>PROPER(TRIM(Raw_Data!M288))</f>
        <v/>
      </c>
      <c r="N288" s="6">
        <f>ROUND(Raw_Data!N288,2)</f>
        <v/>
      </c>
      <c r="O288" s="7">
        <f>IF(COUNTIF($A$2:$A$1201,A288)&gt;1,"DUPLICATE","Unique")</f>
        <v/>
      </c>
      <c r="P288" s="7">
        <f>IF(COUNTIF($J$2:$J$1201,J288)&gt;1,"DUPLICATE","Unique")</f>
        <v/>
      </c>
      <c r="Q288" s="4">
        <f>IF(TRIM(Raw_Data!L288)="","Yes","No")</f>
        <v/>
      </c>
      <c r="R288" s="4">
        <f>IF(ISNUMBER(B288),"Valid","INVALID")</f>
        <v/>
      </c>
    </row>
    <row r="289">
      <c r="A289" s="4">
        <f>TRIM(Raw_Data!A289)</f>
        <v/>
      </c>
      <c r="B289" s="5">
        <f>Raw_Data!B289</f>
        <v/>
      </c>
      <c r="C289" s="4">
        <f>TRIM(Raw_Data!C289)</f>
        <v/>
      </c>
      <c r="D289" s="4">
        <f>PROPER(TRIM(Raw_Data!D289))</f>
        <v/>
      </c>
      <c r="E289" s="4">
        <f>Raw_Data!E289</f>
        <v/>
      </c>
      <c r="F289" s="6">
        <f>ROUND(Raw_Data!F289,2)</f>
        <v/>
      </c>
      <c r="G289" s="4">
        <f>PROPER(TRIM(Raw_Data!G289))</f>
        <v/>
      </c>
      <c r="H289" s="4">
        <f>PROPER(TRIM(Raw_Data!H289))</f>
        <v/>
      </c>
      <c r="I289" s="4">
        <f>PROPER(TRIM(Raw_Data!I289))</f>
        <v/>
      </c>
      <c r="J289" s="4">
        <f>TRIM(Raw_Data!J289)</f>
        <v/>
      </c>
      <c r="K289" s="4">
        <f>Raw_Data!K289</f>
        <v/>
      </c>
      <c r="L289" s="4">
        <f>IF(TRIM(Raw_Data!L289)="","No Coupon",TRIM(Raw_Data!L289))</f>
        <v/>
      </c>
      <c r="M289" s="4">
        <f>PROPER(TRIM(Raw_Data!M289))</f>
        <v/>
      </c>
      <c r="N289" s="6">
        <f>ROUND(Raw_Data!N289,2)</f>
        <v/>
      </c>
      <c r="O289" s="7">
        <f>IF(COUNTIF($A$2:$A$1201,A289)&gt;1,"DUPLICATE","Unique")</f>
        <v/>
      </c>
      <c r="P289" s="7">
        <f>IF(COUNTIF($J$2:$J$1201,J289)&gt;1,"DUPLICATE","Unique")</f>
        <v/>
      </c>
      <c r="Q289" s="4">
        <f>IF(TRIM(Raw_Data!L289)="","Yes","No")</f>
        <v/>
      </c>
      <c r="R289" s="4">
        <f>IF(ISNUMBER(B289),"Valid","INVALID")</f>
        <v/>
      </c>
    </row>
    <row r="290">
      <c r="A290" s="4">
        <f>TRIM(Raw_Data!A290)</f>
        <v/>
      </c>
      <c r="B290" s="5">
        <f>Raw_Data!B290</f>
        <v/>
      </c>
      <c r="C290" s="4">
        <f>TRIM(Raw_Data!C290)</f>
        <v/>
      </c>
      <c r="D290" s="4">
        <f>PROPER(TRIM(Raw_Data!D290))</f>
        <v/>
      </c>
      <c r="E290" s="4">
        <f>Raw_Data!E290</f>
        <v/>
      </c>
      <c r="F290" s="6">
        <f>ROUND(Raw_Data!F290,2)</f>
        <v/>
      </c>
      <c r="G290" s="4">
        <f>PROPER(TRIM(Raw_Data!G290))</f>
        <v/>
      </c>
      <c r="H290" s="4">
        <f>PROPER(TRIM(Raw_Data!H290))</f>
        <v/>
      </c>
      <c r="I290" s="4">
        <f>PROPER(TRIM(Raw_Data!I290))</f>
        <v/>
      </c>
      <c r="J290" s="4">
        <f>TRIM(Raw_Data!J290)</f>
        <v/>
      </c>
      <c r="K290" s="4">
        <f>Raw_Data!K290</f>
        <v/>
      </c>
      <c r="L290" s="4">
        <f>IF(TRIM(Raw_Data!L290)="","No Coupon",TRIM(Raw_Data!L290))</f>
        <v/>
      </c>
      <c r="M290" s="4">
        <f>PROPER(TRIM(Raw_Data!M290))</f>
        <v/>
      </c>
      <c r="N290" s="6">
        <f>ROUND(Raw_Data!N290,2)</f>
        <v/>
      </c>
      <c r="O290" s="7">
        <f>IF(COUNTIF($A$2:$A$1201,A290)&gt;1,"DUPLICATE","Unique")</f>
        <v/>
      </c>
      <c r="P290" s="7">
        <f>IF(COUNTIF($J$2:$J$1201,J290)&gt;1,"DUPLICATE","Unique")</f>
        <v/>
      </c>
      <c r="Q290" s="4">
        <f>IF(TRIM(Raw_Data!L290)="","Yes","No")</f>
        <v/>
      </c>
      <c r="R290" s="4">
        <f>IF(ISNUMBER(B290),"Valid","INVALID")</f>
        <v/>
      </c>
    </row>
    <row r="291">
      <c r="A291" s="4">
        <f>TRIM(Raw_Data!A291)</f>
        <v/>
      </c>
      <c r="B291" s="5">
        <f>Raw_Data!B291</f>
        <v/>
      </c>
      <c r="C291" s="4">
        <f>TRIM(Raw_Data!C291)</f>
        <v/>
      </c>
      <c r="D291" s="4">
        <f>PROPER(TRIM(Raw_Data!D291))</f>
        <v/>
      </c>
      <c r="E291" s="4">
        <f>Raw_Data!E291</f>
        <v/>
      </c>
      <c r="F291" s="6">
        <f>ROUND(Raw_Data!F291,2)</f>
        <v/>
      </c>
      <c r="G291" s="4">
        <f>PROPER(TRIM(Raw_Data!G291))</f>
        <v/>
      </c>
      <c r="H291" s="4">
        <f>PROPER(TRIM(Raw_Data!H291))</f>
        <v/>
      </c>
      <c r="I291" s="4">
        <f>PROPER(TRIM(Raw_Data!I291))</f>
        <v/>
      </c>
      <c r="J291" s="4">
        <f>TRIM(Raw_Data!J291)</f>
        <v/>
      </c>
      <c r="K291" s="4">
        <f>Raw_Data!K291</f>
        <v/>
      </c>
      <c r="L291" s="4">
        <f>IF(TRIM(Raw_Data!L291)="","No Coupon",TRIM(Raw_Data!L291))</f>
        <v/>
      </c>
      <c r="M291" s="4">
        <f>PROPER(TRIM(Raw_Data!M291))</f>
        <v/>
      </c>
      <c r="N291" s="6">
        <f>ROUND(Raw_Data!N291,2)</f>
        <v/>
      </c>
      <c r="O291" s="7">
        <f>IF(COUNTIF($A$2:$A$1201,A291)&gt;1,"DUPLICATE","Unique")</f>
        <v/>
      </c>
      <c r="P291" s="7">
        <f>IF(COUNTIF($J$2:$J$1201,J291)&gt;1,"DUPLICATE","Unique")</f>
        <v/>
      </c>
      <c r="Q291" s="4">
        <f>IF(TRIM(Raw_Data!L291)="","Yes","No")</f>
        <v/>
      </c>
      <c r="R291" s="4">
        <f>IF(ISNUMBER(B291),"Valid","INVALID")</f>
        <v/>
      </c>
    </row>
    <row r="292">
      <c r="A292" s="4">
        <f>TRIM(Raw_Data!A292)</f>
        <v/>
      </c>
      <c r="B292" s="5">
        <f>Raw_Data!B292</f>
        <v/>
      </c>
      <c r="C292" s="4">
        <f>TRIM(Raw_Data!C292)</f>
        <v/>
      </c>
      <c r="D292" s="4">
        <f>PROPER(TRIM(Raw_Data!D292))</f>
        <v/>
      </c>
      <c r="E292" s="4">
        <f>Raw_Data!E292</f>
        <v/>
      </c>
      <c r="F292" s="6">
        <f>ROUND(Raw_Data!F292,2)</f>
        <v/>
      </c>
      <c r="G292" s="4">
        <f>PROPER(TRIM(Raw_Data!G292))</f>
        <v/>
      </c>
      <c r="H292" s="4">
        <f>PROPER(TRIM(Raw_Data!H292))</f>
        <v/>
      </c>
      <c r="I292" s="4">
        <f>PROPER(TRIM(Raw_Data!I292))</f>
        <v/>
      </c>
      <c r="J292" s="4">
        <f>TRIM(Raw_Data!J292)</f>
        <v/>
      </c>
      <c r="K292" s="4">
        <f>Raw_Data!K292</f>
        <v/>
      </c>
      <c r="L292" s="4">
        <f>IF(TRIM(Raw_Data!L292)="","No Coupon",TRIM(Raw_Data!L292))</f>
        <v/>
      </c>
      <c r="M292" s="4">
        <f>PROPER(TRIM(Raw_Data!M292))</f>
        <v/>
      </c>
      <c r="N292" s="6">
        <f>ROUND(Raw_Data!N292,2)</f>
        <v/>
      </c>
      <c r="O292" s="7">
        <f>IF(COUNTIF($A$2:$A$1201,A292)&gt;1,"DUPLICATE","Unique")</f>
        <v/>
      </c>
      <c r="P292" s="7">
        <f>IF(COUNTIF($J$2:$J$1201,J292)&gt;1,"DUPLICATE","Unique")</f>
        <v/>
      </c>
      <c r="Q292" s="4">
        <f>IF(TRIM(Raw_Data!L292)="","Yes","No")</f>
        <v/>
      </c>
      <c r="R292" s="4">
        <f>IF(ISNUMBER(B292),"Valid","INVALID")</f>
        <v/>
      </c>
    </row>
    <row r="293">
      <c r="A293" s="4">
        <f>TRIM(Raw_Data!A293)</f>
        <v/>
      </c>
      <c r="B293" s="5">
        <f>Raw_Data!B293</f>
        <v/>
      </c>
      <c r="C293" s="4">
        <f>TRIM(Raw_Data!C293)</f>
        <v/>
      </c>
      <c r="D293" s="4">
        <f>PROPER(TRIM(Raw_Data!D293))</f>
        <v/>
      </c>
      <c r="E293" s="4">
        <f>Raw_Data!E293</f>
        <v/>
      </c>
      <c r="F293" s="6">
        <f>ROUND(Raw_Data!F293,2)</f>
        <v/>
      </c>
      <c r="G293" s="4">
        <f>PROPER(TRIM(Raw_Data!G293))</f>
        <v/>
      </c>
      <c r="H293" s="4">
        <f>PROPER(TRIM(Raw_Data!H293))</f>
        <v/>
      </c>
      <c r="I293" s="4">
        <f>PROPER(TRIM(Raw_Data!I293))</f>
        <v/>
      </c>
      <c r="J293" s="4">
        <f>TRIM(Raw_Data!J293)</f>
        <v/>
      </c>
      <c r="K293" s="4">
        <f>Raw_Data!K293</f>
        <v/>
      </c>
      <c r="L293" s="4">
        <f>IF(TRIM(Raw_Data!L293)="","No Coupon",TRIM(Raw_Data!L293))</f>
        <v/>
      </c>
      <c r="M293" s="4">
        <f>PROPER(TRIM(Raw_Data!M293))</f>
        <v/>
      </c>
      <c r="N293" s="6">
        <f>ROUND(Raw_Data!N293,2)</f>
        <v/>
      </c>
      <c r="O293" s="7">
        <f>IF(COUNTIF($A$2:$A$1201,A293)&gt;1,"DUPLICATE","Unique")</f>
        <v/>
      </c>
      <c r="P293" s="7">
        <f>IF(COUNTIF($J$2:$J$1201,J293)&gt;1,"DUPLICATE","Unique")</f>
        <v/>
      </c>
      <c r="Q293" s="4">
        <f>IF(TRIM(Raw_Data!L293)="","Yes","No")</f>
        <v/>
      </c>
      <c r="R293" s="4">
        <f>IF(ISNUMBER(B293),"Valid","INVALID")</f>
        <v/>
      </c>
    </row>
    <row r="294">
      <c r="A294" s="4">
        <f>TRIM(Raw_Data!A294)</f>
        <v/>
      </c>
      <c r="B294" s="5">
        <f>Raw_Data!B294</f>
        <v/>
      </c>
      <c r="C294" s="4">
        <f>TRIM(Raw_Data!C294)</f>
        <v/>
      </c>
      <c r="D294" s="4">
        <f>PROPER(TRIM(Raw_Data!D294))</f>
        <v/>
      </c>
      <c r="E294" s="4">
        <f>Raw_Data!E294</f>
        <v/>
      </c>
      <c r="F294" s="6">
        <f>ROUND(Raw_Data!F294,2)</f>
        <v/>
      </c>
      <c r="G294" s="4">
        <f>PROPER(TRIM(Raw_Data!G294))</f>
        <v/>
      </c>
      <c r="H294" s="4">
        <f>PROPER(TRIM(Raw_Data!H294))</f>
        <v/>
      </c>
      <c r="I294" s="4">
        <f>PROPER(TRIM(Raw_Data!I294))</f>
        <v/>
      </c>
      <c r="J294" s="4">
        <f>TRIM(Raw_Data!J294)</f>
        <v/>
      </c>
      <c r="K294" s="4">
        <f>Raw_Data!K294</f>
        <v/>
      </c>
      <c r="L294" s="4">
        <f>IF(TRIM(Raw_Data!L294)="","No Coupon",TRIM(Raw_Data!L294))</f>
        <v/>
      </c>
      <c r="M294" s="4">
        <f>PROPER(TRIM(Raw_Data!M294))</f>
        <v/>
      </c>
      <c r="N294" s="6">
        <f>ROUND(Raw_Data!N294,2)</f>
        <v/>
      </c>
      <c r="O294" s="7">
        <f>IF(COUNTIF($A$2:$A$1201,A294)&gt;1,"DUPLICATE","Unique")</f>
        <v/>
      </c>
      <c r="P294" s="7">
        <f>IF(COUNTIF($J$2:$J$1201,J294)&gt;1,"DUPLICATE","Unique")</f>
        <v/>
      </c>
      <c r="Q294" s="4">
        <f>IF(TRIM(Raw_Data!L294)="","Yes","No")</f>
        <v/>
      </c>
      <c r="R294" s="4">
        <f>IF(ISNUMBER(B294),"Valid","INVALID")</f>
        <v/>
      </c>
    </row>
    <row r="295">
      <c r="A295" s="4">
        <f>TRIM(Raw_Data!A295)</f>
        <v/>
      </c>
      <c r="B295" s="5">
        <f>Raw_Data!B295</f>
        <v/>
      </c>
      <c r="C295" s="4">
        <f>TRIM(Raw_Data!C295)</f>
        <v/>
      </c>
      <c r="D295" s="4">
        <f>PROPER(TRIM(Raw_Data!D295))</f>
        <v/>
      </c>
      <c r="E295" s="4">
        <f>Raw_Data!E295</f>
        <v/>
      </c>
      <c r="F295" s="6">
        <f>ROUND(Raw_Data!F295,2)</f>
        <v/>
      </c>
      <c r="G295" s="4">
        <f>PROPER(TRIM(Raw_Data!G295))</f>
        <v/>
      </c>
      <c r="H295" s="4">
        <f>PROPER(TRIM(Raw_Data!H295))</f>
        <v/>
      </c>
      <c r="I295" s="4">
        <f>PROPER(TRIM(Raw_Data!I295))</f>
        <v/>
      </c>
      <c r="J295" s="4">
        <f>TRIM(Raw_Data!J295)</f>
        <v/>
      </c>
      <c r="K295" s="4">
        <f>Raw_Data!K295</f>
        <v/>
      </c>
      <c r="L295" s="4">
        <f>IF(TRIM(Raw_Data!L295)="","No Coupon",TRIM(Raw_Data!L295))</f>
        <v/>
      </c>
      <c r="M295" s="4">
        <f>PROPER(TRIM(Raw_Data!M295))</f>
        <v/>
      </c>
      <c r="N295" s="6">
        <f>ROUND(Raw_Data!N295,2)</f>
        <v/>
      </c>
      <c r="O295" s="7">
        <f>IF(COUNTIF($A$2:$A$1201,A295)&gt;1,"DUPLICATE","Unique")</f>
        <v/>
      </c>
      <c r="P295" s="7">
        <f>IF(COUNTIF($J$2:$J$1201,J295)&gt;1,"DUPLICATE","Unique")</f>
        <v/>
      </c>
      <c r="Q295" s="4">
        <f>IF(TRIM(Raw_Data!L295)="","Yes","No")</f>
        <v/>
      </c>
      <c r="R295" s="4">
        <f>IF(ISNUMBER(B295),"Valid","INVALID")</f>
        <v/>
      </c>
    </row>
    <row r="296">
      <c r="A296" s="4">
        <f>TRIM(Raw_Data!A296)</f>
        <v/>
      </c>
      <c r="B296" s="5">
        <f>Raw_Data!B296</f>
        <v/>
      </c>
      <c r="C296" s="4">
        <f>TRIM(Raw_Data!C296)</f>
        <v/>
      </c>
      <c r="D296" s="4">
        <f>PROPER(TRIM(Raw_Data!D296))</f>
        <v/>
      </c>
      <c r="E296" s="4">
        <f>Raw_Data!E296</f>
        <v/>
      </c>
      <c r="F296" s="6">
        <f>ROUND(Raw_Data!F296,2)</f>
        <v/>
      </c>
      <c r="G296" s="4">
        <f>PROPER(TRIM(Raw_Data!G296))</f>
        <v/>
      </c>
      <c r="H296" s="4">
        <f>PROPER(TRIM(Raw_Data!H296))</f>
        <v/>
      </c>
      <c r="I296" s="4">
        <f>PROPER(TRIM(Raw_Data!I296))</f>
        <v/>
      </c>
      <c r="J296" s="4">
        <f>TRIM(Raw_Data!J296)</f>
        <v/>
      </c>
      <c r="K296" s="4">
        <f>Raw_Data!K296</f>
        <v/>
      </c>
      <c r="L296" s="4">
        <f>IF(TRIM(Raw_Data!L296)="","No Coupon",TRIM(Raw_Data!L296))</f>
        <v/>
      </c>
      <c r="M296" s="4">
        <f>PROPER(TRIM(Raw_Data!M296))</f>
        <v/>
      </c>
      <c r="N296" s="6">
        <f>ROUND(Raw_Data!N296,2)</f>
        <v/>
      </c>
      <c r="O296" s="7">
        <f>IF(COUNTIF($A$2:$A$1201,A296)&gt;1,"DUPLICATE","Unique")</f>
        <v/>
      </c>
      <c r="P296" s="7">
        <f>IF(COUNTIF($J$2:$J$1201,J296)&gt;1,"DUPLICATE","Unique")</f>
        <v/>
      </c>
      <c r="Q296" s="4">
        <f>IF(TRIM(Raw_Data!L296)="","Yes","No")</f>
        <v/>
      </c>
      <c r="R296" s="4">
        <f>IF(ISNUMBER(B296),"Valid","INVALID")</f>
        <v/>
      </c>
    </row>
    <row r="297">
      <c r="A297" s="4">
        <f>TRIM(Raw_Data!A297)</f>
        <v/>
      </c>
      <c r="B297" s="5">
        <f>Raw_Data!B297</f>
        <v/>
      </c>
      <c r="C297" s="4">
        <f>TRIM(Raw_Data!C297)</f>
        <v/>
      </c>
      <c r="D297" s="4">
        <f>PROPER(TRIM(Raw_Data!D297))</f>
        <v/>
      </c>
      <c r="E297" s="4">
        <f>Raw_Data!E297</f>
        <v/>
      </c>
      <c r="F297" s="6">
        <f>ROUND(Raw_Data!F297,2)</f>
        <v/>
      </c>
      <c r="G297" s="4">
        <f>PROPER(TRIM(Raw_Data!G297))</f>
        <v/>
      </c>
      <c r="H297" s="4">
        <f>PROPER(TRIM(Raw_Data!H297))</f>
        <v/>
      </c>
      <c r="I297" s="4">
        <f>PROPER(TRIM(Raw_Data!I297))</f>
        <v/>
      </c>
      <c r="J297" s="4">
        <f>TRIM(Raw_Data!J297)</f>
        <v/>
      </c>
      <c r="K297" s="4">
        <f>Raw_Data!K297</f>
        <v/>
      </c>
      <c r="L297" s="4">
        <f>IF(TRIM(Raw_Data!L297)="","No Coupon",TRIM(Raw_Data!L297))</f>
        <v/>
      </c>
      <c r="M297" s="4">
        <f>PROPER(TRIM(Raw_Data!M297))</f>
        <v/>
      </c>
      <c r="N297" s="6">
        <f>ROUND(Raw_Data!N297,2)</f>
        <v/>
      </c>
      <c r="O297" s="7">
        <f>IF(COUNTIF($A$2:$A$1201,A297)&gt;1,"DUPLICATE","Unique")</f>
        <v/>
      </c>
      <c r="P297" s="7">
        <f>IF(COUNTIF($J$2:$J$1201,J297)&gt;1,"DUPLICATE","Unique")</f>
        <v/>
      </c>
      <c r="Q297" s="4">
        <f>IF(TRIM(Raw_Data!L297)="","Yes","No")</f>
        <v/>
      </c>
      <c r="R297" s="4">
        <f>IF(ISNUMBER(B297),"Valid","INVALID")</f>
        <v/>
      </c>
    </row>
    <row r="298">
      <c r="A298" s="4">
        <f>TRIM(Raw_Data!A298)</f>
        <v/>
      </c>
      <c r="B298" s="5">
        <f>Raw_Data!B298</f>
        <v/>
      </c>
      <c r="C298" s="4">
        <f>TRIM(Raw_Data!C298)</f>
        <v/>
      </c>
      <c r="D298" s="4">
        <f>PROPER(TRIM(Raw_Data!D298))</f>
        <v/>
      </c>
      <c r="E298" s="4">
        <f>Raw_Data!E298</f>
        <v/>
      </c>
      <c r="F298" s="6">
        <f>ROUND(Raw_Data!F298,2)</f>
        <v/>
      </c>
      <c r="G298" s="4">
        <f>PROPER(TRIM(Raw_Data!G298))</f>
        <v/>
      </c>
      <c r="H298" s="4">
        <f>PROPER(TRIM(Raw_Data!H298))</f>
        <v/>
      </c>
      <c r="I298" s="4">
        <f>PROPER(TRIM(Raw_Data!I298))</f>
        <v/>
      </c>
      <c r="J298" s="4">
        <f>TRIM(Raw_Data!J298)</f>
        <v/>
      </c>
      <c r="K298" s="4">
        <f>Raw_Data!K298</f>
        <v/>
      </c>
      <c r="L298" s="4">
        <f>IF(TRIM(Raw_Data!L298)="","No Coupon",TRIM(Raw_Data!L298))</f>
        <v/>
      </c>
      <c r="M298" s="4">
        <f>PROPER(TRIM(Raw_Data!M298))</f>
        <v/>
      </c>
      <c r="N298" s="6">
        <f>ROUND(Raw_Data!N298,2)</f>
        <v/>
      </c>
      <c r="O298" s="7">
        <f>IF(COUNTIF($A$2:$A$1201,A298)&gt;1,"DUPLICATE","Unique")</f>
        <v/>
      </c>
      <c r="P298" s="7">
        <f>IF(COUNTIF($J$2:$J$1201,J298)&gt;1,"DUPLICATE","Unique")</f>
        <v/>
      </c>
      <c r="Q298" s="4">
        <f>IF(TRIM(Raw_Data!L298)="","Yes","No")</f>
        <v/>
      </c>
      <c r="R298" s="4">
        <f>IF(ISNUMBER(B298),"Valid","INVALID")</f>
        <v/>
      </c>
    </row>
    <row r="299">
      <c r="A299" s="4">
        <f>TRIM(Raw_Data!A299)</f>
        <v/>
      </c>
      <c r="B299" s="5">
        <f>Raw_Data!B299</f>
        <v/>
      </c>
      <c r="C299" s="4">
        <f>TRIM(Raw_Data!C299)</f>
        <v/>
      </c>
      <c r="D299" s="4">
        <f>PROPER(TRIM(Raw_Data!D299))</f>
        <v/>
      </c>
      <c r="E299" s="4">
        <f>Raw_Data!E299</f>
        <v/>
      </c>
      <c r="F299" s="6">
        <f>ROUND(Raw_Data!F299,2)</f>
        <v/>
      </c>
      <c r="G299" s="4">
        <f>PROPER(TRIM(Raw_Data!G299))</f>
        <v/>
      </c>
      <c r="H299" s="4">
        <f>PROPER(TRIM(Raw_Data!H299))</f>
        <v/>
      </c>
      <c r="I299" s="4">
        <f>PROPER(TRIM(Raw_Data!I299))</f>
        <v/>
      </c>
      <c r="J299" s="4">
        <f>TRIM(Raw_Data!J299)</f>
        <v/>
      </c>
      <c r="K299" s="4">
        <f>Raw_Data!K299</f>
        <v/>
      </c>
      <c r="L299" s="4">
        <f>IF(TRIM(Raw_Data!L299)="","No Coupon",TRIM(Raw_Data!L299))</f>
        <v/>
      </c>
      <c r="M299" s="4">
        <f>PROPER(TRIM(Raw_Data!M299))</f>
        <v/>
      </c>
      <c r="N299" s="6">
        <f>ROUND(Raw_Data!N299,2)</f>
        <v/>
      </c>
      <c r="O299" s="7">
        <f>IF(COUNTIF($A$2:$A$1201,A299)&gt;1,"DUPLICATE","Unique")</f>
        <v/>
      </c>
      <c r="P299" s="7">
        <f>IF(COUNTIF($J$2:$J$1201,J299)&gt;1,"DUPLICATE","Unique")</f>
        <v/>
      </c>
      <c r="Q299" s="4">
        <f>IF(TRIM(Raw_Data!L299)="","Yes","No")</f>
        <v/>
      </c>
      <c r="R299" s="4">
        <f>IF(ISNUMBER(B299),"Valid","INVALID")</f>
        <v/>
      </c>
    </row>
    <row r="300">
      <c r="A300" s="4">
        <f>TRIM(Raw_Data!A300)</f>
        <v/>
      </c>
      <c r="B300" s="5">
        <f>Raw_Data!B300</f>
        <v/>
      </c>
      <c r="C300" s="4">
        <f>TRIM(Raw_Data!C300)</f>
        <v/>
      </c>
      <c r="D300" s="4">
        <f>PROPER(TRIM(Raw_Data!D300))</f>
        <v/>
      </c>
      <c r="E300" s="4">
        <f>Raw_Data!E300</f>
        <v/>
      </c>
      <c r="F300" s="6">
        <f>ROUND(Raw_Data!F300,2)</f>
        <v/>
      </c>
      <c r="G300" s="4">
        <f>PROPER(TRIM(Raw_Data!G300))</f>
        <v/>
      </c>
      <c r="H300" s="4">
        <f>PROPER(TRIM(Raw_Data!H300))</f>
        <v/>
      </c>
      <c r="I300" s="4">
        <f>PROPER(TRIM(Raw_Data!I300))</f>
        <v/>
      </c>
      <c r="J300" s="4">
        <f>TRIM(Raw_Data!J300)</f>
        <v/>
      </c>
      <c r="K300" s="4">
        <f>Raw_Data!K300</f>
        <v/>
      </c>
      <c r="L300" s="4">
        <f>IF(TRIM(Raw_Data!L300)="","No Coupon",TRIM(Raw_Data!L300))</f>
        <v/>
      </c>
      <c r="M300" s="4">
        <f>PROPER(TRIM(Raw_Data!M300))</f>
        <v/>
      </c>
      <c r="N300" s="6">
        <f>ROUND(Raw_Data!N300,2)</f>
        <v/>
      </c>
      <c r="O300" s="7">
        <f>IF(COUNTIF($A$2:$A$1201,A300)&gt;1,"DUPLICATE","Unique")</f>
        <v/>
      </c>
      <c r="P300" s="7">
        <f>IF(COUNTIF($J$2:$J$1201,J300)&gt;1,"DUPLICATE","Unique")</f>
        <v/>
      </c>
      <c r="Q300" s="4">
        <f>IF(TRIM(Raw_Data!L300)="","Yes","No")</f>
        <v/>
      </c>
      <c r="R300" s="4">
        <f>IF(ISNUMBER(B300),"Valid","INVALID")</f>
        <v/>
      </c>
    </row>
    <row r="301">
      <c r="A301" s="4">
        <f>TRIM(Raw_Data!A301)</f>
        <v/>
      </c>
      <c r="B301" s="5">
        <f>Raw_Data!B301</f>
        <v/>
      </c>
      <c r="C301" s="4">
        <f>TRIM(Raw_Data!C301)</f>
        <v/>
      </c>
      <c r="D301" s="4">
        <f>PROPER(TRIM(Raw_Data!D301))</f>
        <v/>
      </c>
      <c r="E301" s="4">
        <f>Raw_Data!E301</f>
        <v/>
      </c>
      <c r="F301" s="6">
        <f>ROUND(Raw_Data!F301,2)</f>
        <v/>
      </c>
      <c r="G301" s="4">
        <f>PROPER(TRIM(Raw_Data!G301))</f>
        <v/>
      </c>
      <c r="H301" s="4">
        <f>PROPER(TRIM(Raw_Data!H301))</f>
        <v/>
      </c>
      <c r="I301" s="4">
        <f>PROPER(TRIM(Raw_Data!I301))</f>
        <v/>
      </c>
      <c r="J301" s="4">
        <f>TRIM(Raw_Data!J301)</f>
        <v/>
      </c>
      <c r="K301" s="4">
        <f>Raw_Data!K301</f>
        <v/>
      </c>
      <c r="L301" s="4">
        <f>IF(TRIM(Raw_Data!L301)="","No Coupon",TRIM(Raw_Data!L301))</f>
        <v/>
      </c>
      <c r="M301" s="4">
        <f>PROPER(TRIM(Raw_Data!M301))</f>
        <v/>
      </c>
      <c r="N301" s="6">
        <f>ROUND(Raw_Data!N301,2)</f>
        <v/>
      </c>
      <c r="O301" s="7">
        <f>IF(COUNTIF($A$2:$A$1201,A301)&gt;1,"DUPLICATE","Unique")</f>
        <v/>
      </c>
      <c r="P301" s="7">
        <f>IF(COUNTIF($J$2:$J$1201,J301)&gt;1,"DUPLICATE","Unique")</f>
        <v/>
      </c>
      <c r="Q301" s="4">
        <f>IF(TRIM(Raw_Data!L301)="","Yes","No")</f>
        <v/>
      </c>
      <c r="R301" s="4">
        <f>IF(ISNUMBER(B301),"Valid","INVALID")</f>
        <v/>
      </c>
    </row>
    <row r="302">
      <c r="A302" s="4">
        <f>TRIM(Raw_Data!A302)</f>
        <v/>
      </c>
      <c r="B302" s="5">
        <f>Raw_Data!B302</f>
        <v/>
      </c>
      <c r="C302" s="4">
        <f>TRIM(Raw_Data!C302)</f>
        <v/>
      </c>
      <c r="D302" s="4">
        <f>PROPER(TRIM(Raw_Data!D302))</f>
        <v/>
      </c>
      <c r="E302" s="4">
        <f>Raw_Data!E302</f>
        <v/>
      </c>
      <c r="F302" s="6">
        <f>ROUND(Raw_Data!F302,2)</f>
        <v/>
      </c>
      <c r="G302" s="4">
        <f>PROPER(TRIM(Raw_Data!G302))</f>
        <v/>
      </c>
      <c r="H302" s="4">
        <f>PROPER(TRIM(Raw_Data!H302))</f>
        <v/>
      </c>
      <c r="I302" s="4">
        <f>PROPER(TRIM(Raw_Data!I302))</f>
        <v/>
      </c>
      <c r="J302" s="4">
        <f>TRIM(Raw_Data!J302)</f>
        <v/>
      </c>
      <c r="K302" s="4">
        <f>Raw_Data!K302</f>
        <v/>
      </c>
      <c r="L302" s="4">
        <f>IF(TRIM(Raw_Data!L302)="","No Coupon",TRIM(Raw_Data!L302))</f>
        <v/>
      </c>
      <c r="M302" s="4">
        <f>PROPER(TRIM(Raw_Data!M302))</f>
        <v/>
      </c>
      <c r="N302" s="6">
        <f>ROUND(Raw_Data!N302,2)</f>
        <v/>
      </c>
      <c r="O302" s="7">
        <f>IF(COUNTIF($A$2:$A$1201,A302)&gt;1,"DUPLICATE","Unique")</f>
        <v/>
      </c>
      <c r="P302" s="7">
        <f>IF(COUNTIF($J$2:$J$1201,J302)&gt;1,"DUPLICATE","Unique")</f>
        <v/>
      </c>
      <c r="Q302" s="4">
        <f>IF(TRIM(Raw_Data!L302)="","Yes","No")</f>
        <v/>
      </c>
      <c r="R302" s="4">
        <f>IF(ISNUMBER(B302),"Valid","INVALID")</f>
        <v/>
      </c>
    </row>
    <row r="303">
      <c r="A303" s="4">
        <f>TRIM(Raw_Data!A303)</f>
        <v/>
      </c>
      <c r="B303" s="5">
        <f>Raw_Data!B303</f>
        <v/>
      </c>
      <c r="C303" s="4">
        <f>TRIM(Raw_Data!C303)</f>
        <v/>
      </c>
      <c r="D303" s="4">
        <f>PROPER(TRIM(Raw_Data!D303))</f>
        <v/>
      </c>
      <c r="E303" s="4">
        <f>Raw_Data!E303</f>
        <v/>
      </c>
      <c r="F303" s="6">
        <f>ROUND(Raw_Data!F303,2)</f>
        <v/>
      </c>
      <c r="G303" s="4">
        <f>PROPER(TRIM(Raw_Data!G303))</f>
        <v/>
      </c>
      <c r="H303" s="4">
        <f>PROPER(TRIM(Raw_Data!H303))</f>
        <v/>
      </c>
      <c r="I303" s="4">
        <f>PROPER(TRIM(Raw_Data!I303))</f>
        <v/>
      </c>
      <c r="J303" s="4">
        <f>TRIM(Raw_Data!J303)</f>
        <v/>
      </c>
      <c r="K303" s="4">
        <f>Raw_Data!K303</f>
        <v/>
      </c>
      <c r="L303" s="4">
        <f>IF(TRIM(Raw_Data!L303)="","No Coupon",TRIM(Raw_Data!L303))</f>
        <v/>
      </c>
      <c r="M303" s="4">
        <f>PROPER(TRIM(Raw_Data!M303))</f>
        <v/>
      </c>
      <c r="N303" s="6">
        <f>ROUND(Raw_Data!N303,2)</f>
        <v/>
      </c>
      <c r="O303" s="7">
        <f>IF(COUNTIF($A$2:$A$1201,A303)&gt;1,"DUPLICATE","Unique")</f>
        <v/>
      </c>
      <c r="P303" s="7">
        <f>IF(COUNTIF($J$2:$J$1201,J303)&gt;1,"DUPLICATE","Unique")</f>
        <v/>
      </c>
      <c r="Q303" s="4">
        <f>IF(TRIM(Raw_Data!L303)="","Yes","No")</f>
        <v/>
      </c>
      <c r="R303" s="4">
        <f>IF(ISNUMBER(B303),"Valid","INVALID")</f>
        <v/>
      </c>
    </row>
    <row r="304">
      <c r="A304" s="4">
        <f>TRIM(Raw_Data!A304)</f>
        <v/>
      </c>
      <c r="B304" s="5">
        <f>Raw_Data!B304</f>
        <v/>
      </c>
      <c r="C304" s="4">
        <f>TRIM(Raw_Data!C304)</f>
        <v/>
      </c>
      <c r="D304" s="4">
        <f>PROPER(TRIM(Raw_Data!D304))</f>
        <v/>
      </c>
      <c r="E304" s="4">
        <f>Raw_Data!E304</f>
        <v/>
      </c>
      <c r="F304" s="6">
        <f>ROUND(Raw_Data!F304,2)</f>
        <v/>
      </c>
      <c r="G304" s="4">
        <f>PROPER(TRIM(Raw_Data!G304))</f>
        <v/>
      </c>
      <c r="H304" s="4">
        <f>PROPER(TRIM(Raw_Data!H304))</f>
        <v/>
      </c>
      <c r="I304" s="4">
        <f>PROPER(TRIM(Raw_Data!I304))</f>
        <v/>
      </c>
      <c r="J304" s="4">
        <f>TRIM(Raw_Data!J304)</f>
        <v/>
      </c>
      <c r="K304" s="4">
        <f>Raw_Data!K304</f>
        <v/>
      </c>
      <c r="L304" s="4">
        <f>IF(TRIM(Raw_Data!L304)="","No Coupon",TRIM(Raw_Data!L304))</f>
        <v/>
      </c>
      <c r="M304" s="4">
        <f>PROPER(TRIM(Raw_Data!M304))</f>
        <v/>
      </c>
      <c r="N304" s="6">
        <f>ROUND(Raw_Data!N304,2)</f>
        <v/>
      </c>
      <c r="O304" s="7">
        <f>IF(COUNTIF($A$2:$A$1201,A304)&gt;1,"DUPLICATE","Unique")</f>
        <v/>
      </c>
      <c r="P304" s="7">
        <f>IF(COUNTIF($J$2:$J$1201,J304)&gt;1,"DUPLICATE","Unique")</f>
        <v/>
      </c>
      <c r="Q304" s="4">
        <f>IF(TRIM(Raw_Data!L304)="","Yes","No")</f>
        <v/>
      </c>
      <c r="R304" s="4">
        <f>IF(ISNUMBER(B304),"Valid","INVALID")</f>
        <v/>
      </c>
    </row>
    <row r="305">
      <c r="A305" s="4">
        <f>TRIM(Raw_Data!A305)</f>
        <v/>
      </c>
      <c r="B305" s="5">
        <f>Raw_Data!B305</f>
        <v/>
      </c>
      <c r="C305" s="4">
        <f>TRIM(Raw_Data!C305)</f>
        <v/>
      </c>
      <c r="D305" s="4">
        <f>PROPER(TRIM(Raw_Data!D305))</f>
        <v/>
      </c>
      <c r="E305" s="4">
        <f>Raw_Data!E305</f>
        <v/>
      </c>
      <c r="F305" s="6">
        <f>ROUND(Raw_Data!F305,2)</f>
        <v/>
      </c>
      <c r="G305" s="4">
        <f>PROPER(TRIM(Raw_Data!G305))</f>
        <v/>
      </c>
      <c r="H305" s="4">
        <f>PROPER(TRIM(Raw_Data!H305))</f>
        <v/>
      </c>
      <c r="I305" s="4">
        <f>PROPER(TRIM(Raw_Data!I305))</f>
        <v/>
      </c>
      <c r="J305" s="4">
        <f>TRIM(Raw_Data!J305)</f>
        <v/>
      </c>
      <c r="K305" s="4">
        <f>Raw_Data!K305</f>
        <v/>
      </c>
      <c r="L305" s="4">
        <f>IF(TRIM(Raw_Data!L305)="","No Coupon",TRIM(Raw_Data!L305))</f>
        <v/>
      </c>
      <c r="M305" s="4">
        <f>PROPER(TRIM(Raw_Data!M305))</f>
        <v/>
      </c>
      <c r="N305" s="6">
        <f>ROUND(Raw_Data!N305,2)</f>
        <v/>
      </c>
      <c r="O305" s="7">
        <f>IF(COUNTIF($A$2:$A$1201,A305)&gt;1,"DUPLICATE","Unique")</f>
        <v/>
      </c>
      <c r="P305" s="7">
        <f>IF(COUNTIF($J$2:$J$1201,J305)&gt;1,"DUPLICATE","Unique")</f>
        <v/>
      </c>
      <c r="Q305" s="4">
        <f>IF(TRIM(Raw_Data!L305)="","Yes","No")</f>
        <v/>
      </c>
      <c r="R305" s="4">
        <f>IF(ISNUMBER(B305),"Valid","INVALID")</f>
        <v/>
      </c>
    </row>
    <row r="306">
      <c r="A306" s="4">
        <f>TRIM(Raw_Data!A306)</f>
        <v/>
      </c>
      <c r="B306" s="5">
        <f>Raw_Data!B306</f>
        <v/>
      </c>
      <c r="C306" s="4">
        <f>TRIM(Raw_Data!C306)</f>
        <v/>
      </c>
      <c r="D306" s="4">
        <f>PROPER(TRIM(Raw_Data!D306))</f>
        <v/>
      </c>
      <c r="E306" s="4">
        <f>Raw_Data!E306</f>
        <v/>
      </c>
      <c r="F306" s="6">
        <f>ROUND(Raw_Data!F306,2)</f>
        <v/>
      </c>
      <c r="G306" s="4">
        <f>PROPER(TRIM(Raw_Data!G306))</f>
        <v/>
      </c>
      <c r="H306" s="4">
        <f>PROPER(TRIM(Raw_Data!H306))</f>
        <v/>
      </c>
      <c r="I306" s="4">
        <f>PROPER(TRIM(Raw_Data!I306))</f>
        <v/>
      </c>
      <c r="J306" s="4">
        <f>TRIM(Raw_Data!J306)</f>
        <v/>
      </c>
      <c r="K306" s="4">
        <f>Raw_Data!K306</f>
        <v/>
      </c>
      <c r="L306" s="4">
        <f>IF(TRIM(Raw_Data!L306)="","No Coupon",TRIM(Raw_Data!L306))</f>
        <v/>
      </c>
      <c r="M306" s="4">
        <f>PROPER(TRIM(Raw_Data!M306))</f>
        <v/>
      </c>
      <c r="N306" s="6">
        <f>ROUND(Raw_Data!N306,2)</f>
        <v/>
      </c>
      <c r="O306" s="7">
        <f>IF(COUNTIF($A$2:$A$1201,A306)&gt;1,"DUPLICATE","Unique")</f>
        <v/>
      </c>
      <c r="P306" s="7">
        <f>IF(COUNTIF($J$2:$J$1201,J306)&gt;1,"DUPLICATE","Unique")</f>
        <v/>
      </c>
      <c r="Q306" s="4">
        <f>IF(TRIM(Raw_Data!L306)="","Yes","No")</f>
        <v/>
      </c>
      <c r="R306" s="4">
        <f>IF(ISNUMBER(B306),"Valid","INVALID")</f>
        <v/>
      </c>
    </row>
    <row r="307">
      <c r="A307" s="4">
        <f>TRIM(Raw_Data!A307)</f>
        <v/>
      </c>
      <c r="B307" s="5">
        <f>Raw_Data!B307</f>
        <v/>
      </c>
      <c r="C307" s="4">
        <f>TRIM(Raw_Data!C307)</f>
        <v/>
      </c>
      <c r="D307" s="4">
        <f>PROPER(TRIM(Raw_Data!D307))</f>
        <v/>
      </c>
      <c r="E307" s="4">
        <f>Raw_Data!E307</f>
        <v/>
      </c>
      <c r="F307" s="6">
        <f>ROUND(Raw_Data!F307,2)</f>
        <v/>
      </c>
      <c r="G307" s="4">
        <f>PROPER(TRIM(Raw_Data!G307))</f>
        <v/>
      </c>
      <c r="H307" s="4">
        <f>PROPER(TRIM(Raw_Data!H307))</f>
        <v/>
      </c>
      <c r="I307" s="4">
        <f>PROPER(TRIM(Raw_Data!I307))</f>
        <v/>
      </c>
      <c r="J307" s="4">
        <f>TRIM(Raw_Data!J307)</f>
        <v/>
      </c>
      <c r="K307" s="4">
        <f>Raw_Data!K307</f>
        <v/>
      </c>
      <c r="L307" s="4">
        <f>IF(TRIM(Raw_Data!L307)="","No Coupon",TRIM(Raw_Data!L307))</f>
        <v/>
      </c>
      <c r="M307" s="4">
        <f>PROPER(TRIM(Raw_Data!M307))</f>
        <v/>
      </c>
      <c r="N307" s="6">
        <f>ROUND(Raw_Data!N307,2)</f>
        <v/>
      </c>
      <c r="O307" s="7">
        <f>IF(COUNTIF($A$2:$A$1201,A307)&gt;1,"DUPLICATE","Unique")</f>
        <v/>
      </c>
      <c r="P307" s="7">
        <f>IF(COUNTIF($J$2:$J$1201,J307)&gt;1,"DUPLICATE","Unique")</f>
        <v/>
      </c>
      <c r="Q307" s="4">
        <f>IF(TRIM(Raw_Data!L307)="","Yes","No")</f>
        <v/>
      </c>
      <c r="R307" s="4">
        <f>IF(ISNUMBER(B307),"Valid","INVALID")</f>
        <v/>
      </c>
    </row>
    <row r="308">
      <c r="A308" s="4">
        <f>TRIM(Raw_Data!A308)</f>
        <v/>
      </c>
      <c r="B308" s="5">
        <f>Raw_Data!B308</f>
        <v/>
      </c>
      <c r="C308" s="4">
        <f>TRIM(Raw_Data!C308)</f>
        <v/>
      </c>
      <c r="D308" s="4">
        <f>PROPER(TRIM(Raw_Data!D308))</f>
        <v/>
      </c>
      <c r="E308" s="4">
        <f>Raw_Data!E308</f>
        <v/>
      </c>
      <c r="F308" s="6">
        <f>ROUND(Raw_Data!F308,2)</f>
        <v/>
      </c>
      <c r="G308" s="4">
        <f>PROPER(TRIM(Raw_Data!G308))</f>
        <v/>
      </c>
      <c r="H308" s="4">
        <f>PROPER(TRIM(Raw_Data!H308))</f>
        <v/>
      </c>
      <c r="I308" s="4">
        <f>PROPER(TRIM(Raw_Data!I308))</f>
        <v/>
      </c>
      <c r="J308" s="4">
        <f>TRIM(Raw_Data!J308)</f>
        <v/>
      </c>
      <c r="K308" s="4">
        <f>Raw_Data!K308</f>
        <v/>
      </c>
      <c r="L308" s="4">
        <f>IF(TRIM(Raw_Data!L308)="","No Coupon",TRIM(Raw_Data!L308))</f>
        <v/>
      </c>
      <c r="M308" s="4">
        <f>PROPER(TRIM(Raw_Data!M308))</f>
        <v/>
      </c>
      <c r="N308" s="6">
        <f>ROUND(Raw_Data!N308,2)</f>
        <v/>
      </c>
      <c r="O308" s="7">
        <f>IF(COUNTIF($A$2:$A$1201,A308)&gt;1,"DUPLICATE","Unique")</f>
        <v/>
      </c>
      <c r="P308" s="7">
        <f>IF(COUNTIF($J$2:$J$1201,J308)&gt;1,"DUPLICATE","Unique")</f>
        <v/>
      </c>
      <c r="Q308" s="4">
        <f>IF(TRIM(Raw_Data!L308)="","Yes","No")</f>
        <v/>
      </c>
      <c r="R308" s="4">
        <f>IF(ISNUMBER(B308),"Valid","INVALID")</f>
        <v/>
      </c>
    </row>
    <row r="309">
      <c r="A309" s="4">
        <f>TRIM(Raw_Data!A309)</f>
        <v/>
      </c>
      <c r="B309" s="5">
        <f>Raw_Data!B309</f>
        <v/>
      </c>
      <c r="C309" s="4">
        <f>TRIM(Raw_Data!C309)</f>
        <v/>
      </c>
      <c r="D309" s="4">
        <f>PROPER(TRIM(Raw_Data!D309))</f>
        <v/>
      </c>
      <c r="E309" s="4">
        <f>Raw_Data!E309</f>
        <v/>
      </c>
      <c r="F309" s="6">
        <f>ROUND(Raw_Data!F309,2)</f>
        <v/>
      </c>
      <c r="G309" s="4">
        <f>PROPER(TRIM(Raw_Data!G309))</f>
        <v/>
      </c>
      <c r="H309" s="4">
        <f>PROPER(TRIM(Raw_Data!H309))</f>
        <v/>
      </c>
      <c r="I309" s="4">
        <f>PROPER(TRIM(Raw_Data!I309))</f>
        <v/>
      </c>
      <c r="J309" s="4">
        <f>TRIM(Raw_Data!J309)</f>
        <v/>
      </c>
      <c r="K309" s="4">
        <f>Raw_Data!K309</f>
        <v/>
      </c>
      <c r="L309" s="4">
        <f>IF(TRIM(Raw_Data!L309)="","No Coupon",TRIM(Raw_Data!L309))</f>
        <v/>
      </c>
      <c r="M309" s="4">
        <f>PROPER(TRIM(Raw_Data!M309))</f>
        <v/>
      </c>
      <c r="N309" s="6">
        <f>ROUND(Raw_Data!N309,2)</f>
        <v/>
      </c>
      <c r="O309" s="7">
        <f>IF(COUNTIF($A$2:$A$1201,A309)&gt;1,"DUPLICATE","Unique")</f>
        <v/>
      </c>
      <c r="P309" s="7">
        <f>IF(COUNTIF($J$2:$J$1201,J309)&gt;1,"DUPLICATE","Unique")</f>
        <v/>
      </c>
      <c r="Q309" s="4">
        <f>IF(TRIM(Raw_Data!L309)="","Yes","No")</f>
        <v/>
      </c>
      <c r="R309" s="4">
        <f>IF(ISNUMBER(B309),"Valid","INVALID")</f>
        <v/>
      </c>
    </row>
    <row r="310">
      <c r="A310" s="4">
        <f>TRIM(Raw_Data!A310)</f>
        <v/>
      </c>
      <c r="B310" s="5">
        <f>Raw_Data!B310</f>
        <v/>
      </c>
      <c r="C310" s="4">
        <f>TRIM(Raw_Data!C310)</f>
        <v/>
      </c>
      <c r="D310" s="4">
        <f>PROPER(TRIM(Raw_Data!D310))</f>
        <v/>
      </c>
      <c r="E310" s="4">
        <f>Raw_Data!E310</f>
        <v/>
      </c>
      <c r="F310" s="6">
        <f>ROUND(Raw_Data!F310,2)</f>
        <v/>
      </c>
      <c r="G310" s="4">
        <f>PROPER(TRIM(Raw_Data!G310))</f>
        <v/>
      </c>
      <c r="H310" s="4">
        <f>PROPER(TRIM(Raw_Data!H310))</f>
        <v/>
      </c>
      <c r="I310" s="4">
        <f>PROPER(TRIM(Raw_Data!I310))</f>
        <v/>
      </c>
      <c r="J310" s="4">
        <f>TRIM(Raw_Data!J310)</f>
        <v/>
      </c>
      <c r="K310" s="4">
        <f>Raw_Data!K310</f>
        <v/>
      </c>
      <c r="L310" s="4">
        <f>IF(TRIM(Raw_Data!L310)="","No Coupon",TRIM(Raw_Data!L310))</f>
        <v/>
      </c>
      <c r="M310" s="4">
        <f>PROPER(TRIM(Raw_Data!M310))</f>
        <v/>
      </c>
      <c r="N310" s="6">
        <f>ROUND(Raw_Data!N310,2)</f>
        <v/>
      </c>
      <c r="O310" s="7">
        <f>IF(COUNTIF($A$2:$A$1201,A310)&gt;1,"DUPLICATE","Unique")</f>
        <v/>
      </c>
      <c r="P310" s="7">
        <f>IF(COUNTIF($J$2:$J$1201,J310)&gt;1,"DUPLICATE","Unique")</f>
        <v/>
      </c>
      <c r="Q310" s="4">
        <f>IF(TRIM(Raw_Data!L310)="","Yes","No")</f>
        <v/>
      </c>
      <c r="R310" s="4">
        <f>IF(ISNUMBER(B310),"Valid","INVALID")</f>
        <v/>
      </c>
    </row>
    <row r="311">
      <c r="A311" s="4">
        <f>TRIM(Raw_Data!A311)</f>
        <v/>
      </c>
      <c r="B311" s="5">
        <f>Raw_Data!B311</f>
        <v/>
      </c>
      <c r="C311" s="4">
        <f>TRIM(Raw_Data!C311)</f>
        <v/>
      </c>
      <c r="D311" s="4">
        <f>PROPER(TRIM(Raw_Data!D311))</f>
        <v/>
      </c>
      <c r="E311" s="4">
        <f>Raw_Data!E311</f>
        <v/>
      </c>
      <c r="F311" s="6">
        <f>ROUND(Raw_Data!F311,2)</f>
        <v/>
      </c>
      <c r="G311" s="4">
        <f>PROPER(TRIM(Raw_Data!G311))</f>
        <v/>
      </c>
      <c r="H311" s="4">
        <f>PROPER(TRIM(Raw_Data!H311))</f>
        <v/>
      </c>
      <c r="I311" s="4">
        <f>PROPER(TRIM(Raw_Data!I311))</f>
        <v/>
      </c>
      <c r="J311" s="4">
        <f>TRIM(Raw_Data!J311)</f>
        <v/>
      </c>
      <c r="K311" s="4">
        <f>Raw_Data!K311</f>
        <v/>
      </c>
      <c r="L311" s="4">
        <f>IF(TRIM(Raw_Data!L311)="","No Coupon",TRIM(Raw_Data!L311))</f>
        <v/>
      </c>
      <c r="M311" s="4">
        <f>PROPER(TRIM(Raw_Data!M311))</f>
        <v/>
      </c>
      <c r="N311" s="6">
        <f>ROUND(Raw_Data!N311,2)</f>
        <v/>
      </c>
      <c r="O311" s="7">
        <f>IF(COUNTIF($A$2:$A$1201,A311)&gt;1,"DUPLICATE","Unique")</f>
        <v/>
      </c>
      <c r="P311" s="7">
        <f>IF(COUNTIF($J$2:$J$1201,J311)&gt;1,"DUPLICATE","Unique")</f>
        <v/>
      </c>
      <c r="Q311" s="4">
        <f>IF(TRIM(Raw_Data!L311)="","Yes","No")</f>
        <v/>
      </c>
      <c r="R311" s="4">
        <f>IF(ISNUMBER(B311),"Valid","INVALID")</f>
        <v/>
      </c>
    </row>
    <row r="312">
      <c r="A312" s="4">
        <f>TRIM(Raw_Data!A312)</f>
        <v/>
      </c>
      <c r="B312" s="5">
        <f>Raw_Data!B312</f>
        <v/>
      </c>
      <c r="C312" s="4">
        <f>TRIM(Raw_Data!C312)</f>
        <v/>
      </c>
      <c r="D312" s="4">
        <f>PROPER(TRIM(Raw_Data!D312))</f>
        <v/>
      </c>
      <c r="E312" s="4">
        <f>Raw_Data!E312</f>
        <v/>
      </c>
      <c r="F312" s="6">
        <f>ROUND(Raw_Data!F312,2)</f>
        <v/>
      </c>
      <c r="G312" s="4">
        <f>PROPER(TRIM(Raw_Data!G312))</f>
        <v/>
      </c>
      <c r="H312" s="4">
        <f>PROPER(TRIM(Raw_Data!H312))</f>
        <v/>
      </c>
      <c r="I312" s="4">
        <f>PROPER(TRIM(Raw_Data!I312))</f>
        <v/>
      </c>
      <c r="J312" s="4">
        <f>TRIM(Raw_Data!J312)</f>
        <v/>
      </c>
      <c r="K312" s="4">
        <f>Raw_Data!K312</f>
        <v/>
      </c>
      <c r="L312" s="4">
        <f>IF(TRIM(Raw_Data!L312)="","No Coupon",TRIM(Raw_Data!L312))</f>
        <v/>
      </c>
      <c r="M312" s="4">
        <f>PROPER(TRIM(Raw_Data!M312))</f>
        <v/>
      </c>
      <c r="N312" s="6">
        <f>ROUND(Raw_Data!N312,2)</f>
        <v/>
      </c>
      <c r="O312" s="7">
        <f>IF(COUNTIF($A$2:$A$1201,A312)&gt;1,"DUPLICATE","Unique")</f>
        <v/>
      </c>
      <c r="P312" s="7">
        <f>IF(COUNTIF($J$2:$J$1201,J312)&gt;1,"DUPLICATE","Unique")</f>
        <v/>
      </c>
      <c r="Q312" s="4">
        <f>IF(TRIM(Raw_Data!L312)="","Yes","No")</f>
        <v/>
      </c>
      <c r="R312" s="4">
        <f>IF(ISNUMBER(B312),"Valid","INVALID")</f>
        <v/>
      </c>
    </row>
    <row r="313">
      <c r="A313" s="4">
        <f>TRIM(Raw_Data!A313)</f>
        <v/>
      </c>
      <c r="B313" s="5">
        <f>Raw_Data!B313</f>
        <v/>
      </c>
      <c r="C313" s="4">
        <f>TRIM(Raw_Data!C313)</f>
        <v/>
      </c>
      <c r="D313" s="4">
        <f>PROPER(TRIM(Raw_Data!D313))</f>
        <v/>
      </c>
      <c r="E313" s="4">
        <f>Raw_Data!E313</f>
        <v/>
      </c>
      <c r="F313" s="6">
        <f>ROUND(Raw_Data!F313,2)</f>
        <v/>
      </c>
      <c r="G313" s="4">
        <f>PROPER(TRIM(Raw_Data!G313))</f>
        <v/>
      </c>
      <c r="H313" s="4">
        <f>PROPER(TRIM(Raw_Data!H313))</f>
        <v/>
      </c>
      <c r="I313" s="4">
        <f>PROPER(TRIM(Raw_Data!I313))</f>
        <v/>
      </c>
      <c r="J313" s="4">
        <f>TRIM(Raw_Data!J313)</f>
        <v/>
      </c>
      <c r="K313" s="4">
        <f>Raw_Data!K313</f>
        <v/>
      </c>
      <c r="L313" s="4">
        <f>IF(TRIM(Raw_Data!L313)="","No Coupon",TRIM(Raw_Data!L313))</f>
        <v/>
      </c>
      <c r="M313" s="4">
        <f>PROPER(TRIM(Raw_Data!M313))</f>
        <v/>
      </c>
      <c r="N313" s="6">
        <f>ROUND(Raw_Data!N313,2)</f>
        <v/>
      </c>
      <c r="O313" s="7">
        <f>IF(COUNTIF($A$2:$A$1201,A313)&gt;1,"DUPLICATE","Unique")</f>
        <v/>
      </c>
      <c r="P313" s="7">
        <f>IF(COUNTIF($J$2:$J$1201,J313)&gt;1,"DUPLICATE","Unique")</f>
        <v/>
      </c>
      <c r="Q313" s="4">
        <f>IF(TRIM(Raw_Data!L313)="","Yes","No")</f>
        <v/>
      </c>
      <c r="R313" s="4">
        <f>IF(ISNUMBER(B313),"Valid","INVALID")</f>
        <v/>
      </c>
    </row>
    <row r="314">
      <c r="A314" s="4">
        <f>TRIM(Raw_Data!A314)</f>
        <v/>
      </c>
      <c r="B314" s="5">
        <f>Raw_Data!B314</f>
        <v/>
      </c>
      <c r="C314" s="4">
        <f>TRIM(Raw_Data!C314)</f>
        <v/>
      </c>
      <c r="D314" s="4">
        <f>PROPER(TRIM(Raw_Data!D314))</f>
        <v/>
      </c>
      <c r="E314" s="4">
        <f>Raw_Data!E314</f>
        <v/>
      </c>
      <c r="F314" s="6">
        <f>ROUND(Raw_Data!F314,2)</f>
        <v/>
      </c>
      <c r="G314" s="4">
        <f>PROPER(TRIM(Raw_Data!G314))</f>
        <v/>
      </c>
      <c r="H314" s="4">
        <f>PROPER(TRIM(Raw_Data!H314))</f>
        <v/>
      </c>
      <c r="I314" s="4">
        <f>PROPER(TRIM(Raw_Data!I314))</f>
        <v/>
      </c>
      <c r="J314" s="4">
        <f>TRIM(Raw_Data!J314)</f>
        <v/>
      </c>
      <c r="K314" s="4">
        <f>Raw_Data!K314</f>
        <v/>
      </c>
      <c r="L314" s="4">
        <f>IF(TRIM(Raw_Data!L314)="","No Coupon",TRIM(Raw_Data!L314))</f>
        <v/>
      </c>
      <c r="M314" s="4">
        <f>PROPER(TRIM(Raw_Data!M314))</f>
        <v/>
      </c>
      <c r="N314" s="6">
        <f>ROUND(Raw_Data!N314,2)</f>
        <v/>
      </c>
      <c r="O314" s="7">
        <f>IF(COUNTIF($A$2:$A$1201,A314)&gt;1,"DUPLICATE","Unique")</f>
        <v/>
      </c>
      <c r="P314" s="7">
        <f>IF(COUNTIF($J$2:$J$1201,J314)&gt;1,"DUPLICATE","Unique")</f>
        <v/>
      </c>
      <c r="Q314" s="4">
        <f>IF(TRIM(Raw_Data!L314)="","Yes","No")</f>
        <v/>
      </c>
      <c r="R314" s="4">
        <f>IF(ISNUMBER(B314),"Valid","INVALID")</f>
        <v/>
      </c>
    </row>
    <row r="315">
      <c r="A315" s="4">
        <f>TRIM(Raw_Data!A315)</f>
        <v/>
      </c>
      <c r="B315" s="5">
        <f>Raw_Data!B315</f>
        <v/>
      </c>
      <c r="C315" s="4">
        <f>TRIM(Raw_Data!C315)</f>
        <v/>
      </c>
      <c r="D315" s="4">
        <f>PROPER(TRIM(Raw_Data!D315))</f>
        <v/>
      </c>
      <c r="E315" s="4">
        <f>Raw_Data!E315</f>
        <v/>
      </c>
      <c r="F315" s="6">
        <f>ROUND(Raw_Data!F315,2)</f>
        <v/>
      </c>
      <c r="G315" s="4">
        <f>PROPER(TRIM(Raw_Data!G315))</f>
        <v/>
      </c>
      <c r="H315" s="4">
        <f>PROPER(TRIM(Raw_Data!H315))</f>
        <v/>
      </c>
      <c r="I315" s="4">
        <f>PROPER(TRIM(Raw_Data!I315))</f>
        <v/>
      </c>
      <c r="J315" s="4">
        <f>TRIM(Raw_Data!J315)</f>
        <v/>
      </c>
      <c r="K315" s="4">
        <f>Raw_Data!K315</f>
        <v/>
      </c>
      <c r="L315" s="4">
        <f>IF(TRIM(Raw_Data!L315)="","No Coupon",TRIM(Raw_Data!L315))</f>
        <v/>
      </c>
      <c r="M315" s="4">
        <f>PROPER(TRIM(Raw_Data!M315))</f>
        <v/>
      </c>
      <c r="N315" s="6">
        <f>ROUND(Raw_Data!N315,2)</f>
        <v/>
      </c>
      <c r="O315" s="7">
        <f>IF(COUNTIF($A$2:$A$1201,A315)&gt;1,"DUPLICATE","Unique")</f>
        <v/>
      </c>
      <c r="P315" s="7">
        <f>IF(COUNTIF($J$2:$J$1201,J315)&gt;1,"DUPLICATE","Unique")</f>
        <v/>
      </c>
      <c r="Q315" s="4">
        <f>IF(TRIM(Raw_Data!L315)="","Yes","No")</f>
        <v/>
      </c>
      <c r="R315" s="4">
        <f>IF(ISNUMBER(B315),"Valid","INVALID")</f>
        <v/>
      </c>
    </row>
    <row r="316">
      <c r="A316" s="4">
        <f>TRIM(Raw_Data!A316)</f>
        <v/>
      </c>
      <c r="B316" s="5">
        <f>Raw_Data!B316</f>
        <v/>
      </c>
      <c r="C316" s="4">
        <f>TRIM(Raw_Data!C316)</f>
        <v/>
      </c>
      <c r="D316" s="4">
        <f>PROPER(TRIM(Raw_Data!D316))</f>
        <v/>
      </c>
      <c r="E316" s="4">
        <f>Raw_Data!E316</f>
        <v/>
      </c>
      <c r="F316" s="6">
        <f>ROUND(Raw_Data!F316,2)</f>
        <v/>
      </c>
      <c r="G316" s="4">
        <f>PROPER(TRIM(Raw_Data!G316))</f>
        <v/>
      </c>
      <c r="H316" s="4">
        <f>PROPER(TRIM(Raw_Data!H316))</f>
        <v/>
      </c>
      <c r="I316" s="4">
        <f>PROPER(TRIM(Raw_Data!I316))</f>
        <v/>
      </c>
      <c r="J316" s="4">
        <f>TRIM(Raw_Data!J316)</f>
        <v/>
      </c>
      <c r="K316" s="4">
        <f>Raw_Data!K316</f>
        <v/>
      </c>
      <c r="L316" s="4">
        <f>IF(TRIM(Raw_Data!L316)="","No Coupon",TRIM(Raw_Data!L316))</f>
        <v/>
      </c>
      <c r="M316" s="4">
        <f>PROPER(TRIM(Raw_Data!M316))</f>
        <v/>
      </c>
      <c r="N316" s="6">
        <f>ROUND(Raw_Data!N316,2)</f>
        <v/>
      </c>
      <c r="O316" s="7">
        <f>IF(COUNTIF($A$2:$A$1201,A316)&gt;1,"DUPLICATE","Unique")</f>
        <v/>
      </c>
      <c r="P316" s="7">
        <f>IF(COUNTIF($J$2:$J$1201,J316)&gt;1,"DUPLICATE","Unique")</f>
        <v/>
      </c>
      <c r="Q316" s="4">
        <f>IF(TRIM(Raw_Data!L316)="","Yes","No")</f>
        <v/>
      </c>
      <c r="R316" s="4">
        <f>IF(ISNUMBER(B316),"Valid","INVALID")</f>
        <v/>
      </c>
    </row>
    <row r="317">
      <c r="A317" s="4">
        <f>TRIM(Raw_Data!A317)</f>
        <v/>
      </c>
      <c r="B317" s="5">
        <f>Raw_Data!B317</f>
        <v/>
      </c>
      <c r="C317" s="4">
        <f>TRIM(Raw_Data!C317)</f>
        <v/>
      </c>
      <c r="D317" s="4">
        <f>PROPER(TRIM(Raw_Data!D317))</f>
        <v/>
      </c>
      <c r="E317" s="4">
        <f>Raw_Data!E317</f>
        <v/>
      </c>
      <c r="F317" s="6">
        <f>ROUND(Raw_Data!F317,2)</f>
        <v/>
      </c>
      <c r="G317" s="4">
        <f>PROPER(TRIM(Raw_Data!G317))</f>
        <v/>
      </c>
      <c r="H317" s="4">
        <f>PROPER(TRIM(Raw_Data!H317))</f>
        <v/>
      </c>
      <c r="I317" s="4">
        <f>PROPER(TRIM(Raw_Data!I317))</f>
        <v/>
      </c>
      <c r="J317" s="4">
        <f>TRIM(Raw_Data!J317)</f>
        <v/>
      </c>
      <c r="K317" s="4">
        <f>Raw_Data!K317</f>
        <v/>
      </c>
      <c r="L317" s="4">
        <f>IF(TRIM(Raw_Data!L317)="","No Coupon",TRIM(Raw_Data!L317))</f>
        <v/>
      </c>
      <c r="M317" s="4">
        <f>PROPER(TRIM(Raw_Data!M317))</f>
        <v/>
      </c>
      <c r="N317" s="6">
        <f>ROUND(Raw_Data!N317,2)</f>
        <v/>
      </c>
      <c r="O317" s="7">
        <f>IF(COUNTIF($A$2:$A$1201,A317)&gt;1,"DUPLICATE","Unique")</f>
        <v/>
      </c>
      <c r="P317" s="7">
        <f>IF(COUNTIF($J$2:$J$1201,J317)&gt;1,"DUPLICATE","Unique")</f>
        <v/>
      </c>
      <c r="Q317" s="4">
        <f>IF(TRIM(Raw_Data!L317)="","Yes","No")</f>
        <v/>
      </c>
      <c r="R317" s="4">
        <f>IF(ISNUMBER(B317),"Valid","INVALID")</f>
        <v/>
      </c>
    </row>
    <row r="318">
      <c r="A318" s="4">
        <f>TRIM(Raw_Data!A318)</f>
        <v/>
      </c>
      <c r="B318" s="5">
        <f>Raw_Data!B318</f>
        <v/>
      </c>
      <c r="C318" s="4">
        <f>TRIM(Raw_Data!C318)</f>
        <v/>
      </c>
      <c r="D318" s="4">
        <f>PROPER(TRIM(Raw_Data!D318))</f>
        <v/>
      </c>
      <c r="E318" s="4">
        <f>Raw_Data!E318</f>
        <v/>
      </c>
      <c r="F318" s="6">
        <f>ROUND(Raw_Data!F318,2)</f>
        <v/>
      </c>
      <c r="G318" s="4">
        <f>PROPER(TRIM(Raw_Data!G318))</f>
        <v/>
      </c>
      <c r="H318" s="4">
        <f>PROPER(TRIM(Raw_Data!H318))</f>
        <v/>
      </c>
      <c r="I318" s="4">
        <f>PROPER(TRIM(Raw_Data!I318))</f>
        <v/>
      </c>
      <c r="J318" s="4">
        <f>TRIM(Raw_Data!J318)</f>
        <v/>
      </c>
      <c r="K318" s="4">
        <f>Raw_Data!K318</f>
        <v/>
      </c>
      <c r="L318" s="4">
        <f>IF(TRIM(Raw_Data!L318)="","No Coupon",TRIM(Raw_Data!L318))</f>
        <v/>
      </c>
      <c r="M318" s="4">
        <f>PROPER(TRIM(Raw_Data!M318))</f>
        <v/>
      </c>
      <c r="N318" s="6">
        <f>ROUND(Raw_Data!N318,2)</f>
        <v/>
      </c>
      <c r="O318" s="7">
        <f>IF(COUNTIF($A$2:$A$1201,A318)&gt;1,"DUPLICATE","Unique")</f>
        <v/>
      </c>
      <c r="P318" s="7">
        <f>IF(COUNTIF($J$2:$J$1201,J318)&gt;1,"DUPLICATE","Unique")</f>
        <v/>
      </c>
      <c r="Q318" s="4">
        <f>IF(TRIM(Raw_Data!L318)="","Yes","No")</f>
        <v/>
      </c>
      <c r="R318" s="4">
        <f>IF(ISNUMBER(B318),"Valid","INVALID")</f>
        <v/>
      </c>
    </row>
    <row r="319">
      <c r="A319" s="4">
        <f>TRIM(Raw_Data!A319)</f>
        <v/>
      </c>
      <c r="B319" s="5">
        <f>Raw_Data!B319</f>
        <v/>
      </c>
      <c r="C319" s="4">
        <f>TRIM(Raw_Data!C319)</f>
        <v/>
      </c>
      <c r="D319" s="4">
        <f>PROPER(TRIM(Raw_Data!D319))</f>
        <v/>
      </c>
      <c r="E319" s="4">
        <f>Raw_Data!E319</f>
        <v/>
      </c>
      <c r="F319" s="6">
        <f>ROUND(Raw_Data!F319,2)</f>
        <v/>
      </c>
      <c r="G319" s="4">
        <f>PROPER(TRIM(Raw_Data!G319))</f>
        <v/>
      </c>
      <c r="H319" s="4">
        <f>PROPER(TRIM(Raw_Data!H319))</f>
        <v/>
      </c>
      <c r="I319" s="4">
        <f>PROPER(TRIM(Raw_Data!I319))</f>
        <v/>
      </c>
      <c r="J319" s="4">
        <f>TRIM(Raw_Data!J319)</f>
        <v/>
      </c>
      <c r="K319" s="4">
        <f>Raw_Data!K319</f>
        <v/>
      </c>
      <c r="L319" s="4">
        <f>IF(TRIM(Raw_Data!L319)="","No Coupon",TRIM(Raw_Data!L319))</f>
        <v/>
      </c>
      <c r="M319" s="4">
        <f>PROPER(TRIM(Raw_Data!M319))</f>
        <v/>
      </c>
      <c r="N319" s="6">
        <f>ROUND(Raw_Data!N319,2)</f>
        <v/>
      </c>
      <c r="O319" s="7">
        <f>IF(COUNTIF($A$2:$A$1201,A319)&gt;1,"DUPLICATE","Unique")</f>
        <v/>
      </c>
      <c r="P319" s="7">
        <f>IF(COUNTIF($J$2:$J$1201,J319)&gt;1,"DUPLICATE","Unique")</f>
        <v/>
      </c>
      <c r="Q319" s="4">
        <f>IF(TRIM(Raw_Data!L319)="","Yes","No")</f>
        <v/>
      </c>
      <c r="R319" s="4">
        <f>IF(ISNUMBER(B319),"Valid","INVALID")</f>
        <v/>
      </c>
    </row>
    <row r="320">
      <c r="A320" s="4">
        <f>TRIM(Raw_Data!A320)</f>
        <v/>
      </c>
      <c r="B320" s="5">
        <f>Raw_Data!B320</f>
        <v/>
      </c>
      <c r="C320" s="4">
        <f>TRIM(Raw_Data!C320)</f>
        <v/>
      </c>
      <c r="D320" s="4">
        <f>PROPER(TRIM(Raw_Data!D320))</f>
        <v/>
      </c>
      <c r="E320" s="4">
        <f>Raw_Data!E320</f>
        <v/>
      </c>
      <c r="F320" s="6">
        <f>ROUND(Raw_Data!F320,2)</f>
        <v/>
      </c>
      <c r="G320" s="4">
        <f>PROPER(TRIM(Raw_Data!G320))</f>
        <v/>
      </c>
      <c r="H320" s="4">
        <f>PROPER(TRIM(Raw_Data!H320))</f>
        <v/>
      </c>
      <c r="I320" s="4">
        <f>PROPER(TRIM(Raw_Data!I320))</f>
        <v/>
      </c>
      <c r="J320" s="4">
        <f>TRIM(Raw_Data!J320)</f>
        <v/>
      </c>
      <c r="K320" s="4">
        <f>Raw_Data!K320</f>
        <v/>
      </c>
      <c r="L320" s="4">
        <f>IF(TRIM(Raw_Data!L320)="","No Coupon",TRIM(Raw_Data!L320))</f>
        <v/>
      </c>
      <c r="M320" s="4">
        <f>PROPER(TRIM(Raw_Data!M320))</f>
        <v/>
      </c>
      <c r="N320" s="6">
        <f>ROUND(Raw_Data!N320,2)</f>
        <v/>
      </c>
      <c r="O320" s="7">
        <f>IF(COUNTIF($A$2:$A$1201,A320)&gt;1,"DUPLICATE","Unique")</f>
        <v/>
      </c>
      <c r="P320" s="7">
        <f>IF(COUNTIF($J$2:$J$1201,J320)&gt;1,"DUPLICATE","Unique")</f>
        <v/>
      </c>
      <c r="Q320" s="4">
        <f>IF(TRIM(Raw_Data!L320)="","Yes","No")</f>
        <v/>
      </c>
      <c r="R320" s="4">
        <f>IF(ISNUMBER(B320),"Valid","INVALID")</f>
        <v/>
      </c>
    </row>
    <row r="321">
      <c r="A321" s="4">
        <f>TRIM(Raw_Data!A321)</f>
        <v/>
      </c>
      <c r="B321" s="5">
        <f>Raw_Data!B321</f>
        <v/>
      </c>
      <c r="C321" s="4">
        <f>TRIM(Raw_Data!C321)</f>
        <v/>
      </c>
      <c r="D321" s="4">
        <f>PROPER(TRIM(Raw_Data!D321))</f>
        <v/>
      </c>
      <c r="E321" s="4">
        <f>Raw_Data!E321</f>
        <v/>
      </c>
      <c r="F321" s="6">
        <f>ROUND(Raw_Data!F321,2)</f>
        <v/>
      </c>
      <c r="G321" s="4">
        <f>PROPER(TRIM(Raw_Data!G321))</f>
        <v/>
      </c>
      <c r="H321" s="4">
        <f>PROPER(TRIM(Raw_Data!H321))</f>
        <v/>
      </c>
      <c r="I321" s="4">
        <f>PROPER(TRIM(Raw_Data!I321))</f>
        <v/>
      </c>
      <c r="J321" s="4">
        <f>TRIM(Raw_Data!J321)</f>
        <v/>
      </c>
      <c r="K321" s="4">
        <f>Raw_Data!K321</f>
        <v/>
      </c>
      <c r="L321" s="4">
        <f>IF(TRIM(Raw_Data!L321)="","No Coupon",TRIM(Raw_Data!L321))</f>
        <v/>
      </c>
      <c r="M321" s="4">
        <f>PROPER(TRIM(Raw_Data!M321))</f>
        <v/>
      </c>
      <c r="N321" s="6">
        <f>ROUND(Raw_Data!N321,2)</f>
        <v/>
      </c>
      <c r="O321" s="7">
        <f>IF(COUNTIF($A$2:$A$1201,A321)&gt;1,"DUPLICATE","Unique")</f>
        <v/>
      </c>
      <c r="P321" s="7">
        <f>IF(COUNTIF($J$2:$J$1201,J321)&gt;1,"DUPLICATE","Unique")</f>
        <v/>
      </c>
      <c r="Q321" s="4">
        <f>IF(TRIM(Raw_Data!L321)="","Yes","No")</f>
        <v/>
      </c>
      <c r="R321" s="4">
        <f>IF(ISNUMBER(B321),"Valid","INVALID")</f>
        <v/>
      </c>
    </row>
    <row r="322">
      <c r="A322" s="4">
        <f>TRIM(Raw_Data!A322)</f>
        <v/>
      </c>
      <c r="B322" s="5">
        <f>Raw_Data!B322</f>
        <v/>
      </c>
      <c r="C322" s="4">
        <f>TRIM(Raw_Data!C322)</f>
        <v/>
      </c>
      <c r="D322" s="4">
        <f>PROPER(TRIM(Raw_Data!D322))</f>
        <v/>
      </c>
      <c r="E322" s="4">
        <f>Raw_Data!E322</f>
        <v/>
      </c>
      <c r="F322" s="6">
        <f>ROUND(Raw_Data!F322,2)</f>
        <v/>
      </c>
      <c r="G322" s="4">
        <f>PROPER(TRIM(Raw_Data!G322))</f>
        <v/>
      </c>
      <c r="H322" s="4">
        <f>PROPER(TRIM(Raw_Data!H322))</f>
        <v/>
      </c>
      <c r="I322" s="4">
        <f>PROPER(TRIM(Raw_Data!I322))</f>
        <v/>
      </c>
      <c r="J322" s="4">
        <f>TRIM(Raw_Data!J322)</f>
        <v/>
      </c>
      <c r="K322" s="4">
        <f>Raw_Data!K322</f>
        <v/>
      </c>
      <c r="L322" s="4">
        <f>IF(TRIM(Raw_Data!L322)="","No Coupon",TRIM(Raw_Data!L322))</f>
        <v/>
      </c>
      <c r="M322" s="4">
        <f>PROPER(TRIM(Raw_Data!M322))</f>
        <v/>
      </c>
      <c r="N322" s="6">
        <f>ROUND(Raw_Data!N322,2)</f>
        <v/>
      </c>
      <c r="O322" s="7">
        <f>IF(COUNTIF($A$2:$A$1201,A322)&gt;1,"DUPLICATE","Unique")</f>
        <v/>
      </c>
      <c r="P322" s="7">
        <f>IF(COUNTIF($J$2:$J$1201,J322)&gt;1,"DUPLICATE","Unique")</f>
        <v/>
      </c>
      <c r="Q322" s="4">
        <f>IF(TRIM(Raw_Data!L322)="","Yes","No")</f>
        <v/>
      </c>
      <c r="R322" s="4">
        <f>IF(ISNUMBER(B322),"Valid","INVALID")</f>
        <v/>
      </c>
    </row>
    <row r="323">
      <c r="A323" s="4">
        <f>TRIM(Raw_Data!A323)</f>
        <v/>
      </c>
      <c r="B323" s="5">
        <f>Raw_Data!B323</f>
        <v/>
      </c>
      <c r="C323" s="4">
        <f>TRIM(Raw_Data!C323)</f>
        <v/>
      </c>
      <c r="D323" s="4">
        <f>PROPER(TRIM(Raw_Data!D323))</f>
        <v/>
      </c>
      <c r="E323" s="4">
        <f>Raw_Data!E323</f>
        <v/>
      </c>
      <c r="F323" s="6">
        <f>ROUND(Raw_Data!F323,2)</f>
        <v/>
      </c>
      <c r="G323" s="4">
        <f>PROPER(TRIM(Raw_Data!G323))</f>
        <v/>
      </c>
      <c r="H323" s="4">
        <f>PROPER(TRIM(Raw_Data!H323))</f>
        <v/>
      </c>
      <c r="I323" s="4">
        <f>PROPER(TRIM(Raw_Data!I323))</f>
        <v/>
      </c>
      <c r="J323" s="4">
        <f>TRIM(Raw_Data!J323)</f>
        <v/>
      </c>
      <c r="K323" s="4">
        <f>Raw_Data!K323</f>
        <v/>
      </c>
      <c r="L323" s="4">
        <f>IF(TRIM(Raw_Data!L323)="","No Coupon",TRIM(Raw_Data!L323))</f>
        <v/>
      </c>
      <c r="M323" s="4">
        <f>PROPER(TRIM(Raw_Data!M323))</f>
        <v/>
      </c>
      <c r="N323" s="6">
        <f>ROUND(Raw_Data!N323,2)</f>
        <v/>
      </c>
      <c r="O323" s="7">
        <f>IF(COUNTIF($A$2:$A$1201,A323)&gt;1,"DUPLICATE","Unique")</f>
        <v/>
      </c>
      <c r="P323" s="7">
        <f>IF(COUNTIF($J$2:$J$1201,J323)&gt;1,"DUPLICATE","Unique")</f>
        <v/>
      </c>
      <c r="Q323" s="4">
        <f>IF(TRIM(Raw_Data!L323)="","Yes","No")</f>
        <v/>
      </c>
      <c r="R323" s="4">
        <f>IF(ISNUMBER(B323),"Valid","INVALID")</f>
        <v/>
      </c>
    </row>
    <row r="324">
      <c r="A324" s="4">
        <f>TRIM(Raw_Data!A324)</f>
        <v/>
      </c>
      <c r="B324" s="5">
        <f>Raw_Data!B324</f>
        <v/>
      </c>
      <c r="C324" s="4">
        <f>TRIM(Raw_Data!C324)</f>
        <v/>
      </c>
      <c r="D324" s="4">
        <f>PROPER(TRIM(Raw_Data!D324))</f>
        <v/>
      </c>
      <c r="E324" s="4">
        <f>Raw_Data!E324</f>
        <v/>
      </c>
      <c r="F324" s="6">
        <f>ROUND(Raw_Data!F324,2)</f>
        <v/>
      </c>
      <c r="G324" s="4">
        <f>PROPER(TRIM(Raw_Data!G324))</f>
        <v/>
      </c>
      <c r="H324" s="4">
        <f>PROPER(TRIM(Raw_Data!H324))</f>
        <v/>
      </c>
      <c r="I324" s="4">
        <f>PROPER(TRIM(Raw_Data!I324))</f>
        <v/>
      </c>
      <c r="J324" s="4">
        <f>TRIM(Raw_Data!J324)</f>
        <v/>
      </c>
      <c r="K324" s="4">
        <f>Raw_Data!K324</f>
        <v/>
      </c>
      <c r="L324" s="4">
        <f>IF(TRIM(Raw_Data!L324)="","No Coupon",TRIM(Raw_Data!L324))</f>
        <v/>
      </c>
      <c r="M324" s="4">
        <f>PROPER(TRIM(Raw_Data!M324))</f>
        <v/>
      </c>
      <c r="N324" s="6">
        <f>ROUND(Raw_Data!N324,2)</f>
        <v/>
      </c>
      <c r="O324" s="7">
        <f>IF(COUNTIF($A$2:$A$1201,A324)&gt;1,"DUPLICATE","Unique")</f>
        <v/>
      </c>
      <c r="P324" s="7">
        <f>IF(COUNTIF($J$2:$J$1201,J324)&gt;1,"DUPLICATE","Unique")</f>
        <v/>
      </c>
      <c r="Q324" s="4">
        <f>IF(TRIM(Raw_Data!L324)="","Yes","No")</f>
        <v/>
      </c>
      <c r="R324" s="4">
        <f>IF(ISNUMBER(B324),"Valid","INVALID")</f>
        <v/>
      </c>
    </row>
    <row r="325">
      <c r="A325" s="4">
        <f>TRIM(Raw_Data!A325)</f>
        <v/>
      </c>
      <c r="B325" s="5">
        <f>Raw_Data!B325</f>
        <v/>
      </c>
      <c r="C325" s="4">
        <f>TRIM(Raw_Data!C325)</f>
        <v/>
      </c>
      <c r="D325" s="4">
        <f>PROPER(TRIM(Raw_Data!D325))</f>
        <v/>
      </c>
      <c r="E325" s="4">
        <f>Raw_Data!E325</f>
        <v/>
      </c>
      <c r="F325" s="6">
        <f>ROUND(Raw_Data!F325,2)</f>
        <v/>
      </c>
      <c r="G325" s="4">
        <f>PROPER(TRIM(Raw_Data!G325))</f>
        <v/>
      </c>
      <c r="H325" s="4">
        <f>PROPER(TRIM(Raw_Data!H325))</f>
        <v/>
      </c>
      <c r="I325" s="4">
        <f>PROPER(TRIM(Raw_Data!I325))</f>
        <v/>
      </c>
      <c r="J325" s="4">
        <f>TRIM(Raw_Data!J325)</f>
        <v/>
      </c>
      <c r="K325" s="4">
        <f>Raw_Data!K325</f>
        <v/>
      </c>
      <c r="L325" s="4">
        <f>IF(TRIM(Raw_Data!L325)="","No Coupon",TRIM(Raw_Data!L325))</f>
        <v/>
      </c>
      <c r="M325" s="4">
        <f>PROPER(TRIM(Raw_Data!M325))</f>
        <v/>
      </c>
      <c r="N325" s="6">
        <f>ROUND(Raw_Data!N325,2)</f>
        <v/>
      </c>
      <c r="O325" s="7">
        <f>IF(COUNTIF($A$2:$A$1201,A325)&gt;1,"DUPLICATE","Unique")</f>
        <v/>
      </c>
      <c r="P325" s="7">
        <f>IF(COUNTIF($J$2:$J$1201,J325)&gt;1,"DUPLICATE","Unique")</f>
        <v/>
      </c>
      <c r="Q325" s="4">
        <f>IF(TRIM(Raw_Data!L325)="","Yes","No")</f>
        <v/>
      </c>
      <c r="R325" s="4">
        <f>IF(ISNUMBER(B325),"Valid","INVALID")</f>
        <v/>
      </c>
    </row>
    <row r="326">
      <c r="A326" s="4">
        <f>TRIM(Raw_Data!A326)</f>
        <v/>
      </c>
      <c r="B326" s="5">
        <f>Raw_Data!B326</f>
        <v/>
      </c>
      <c r="C326" s="4">
        <f>TRIM(Raw_Data!C326)</f>
        <v/>
      </c>
      <c r="D326" s="4">
        <f>PROPER(TRIM(Raw_Data!D326))</f>
        <v/>
      </c>
      <c r="E326" s="4">
        <f>Raw_Data!E326</f>
        <v/>
      </c>
      <c r="F326" s="6">
        <f>ROUND(Raw_Data!F326,2)</f>
        <v/>
      </c>
      <c r="G326" s="4">
        <f>PROPER(TRIM(Raw_Data!G326))</f>
        <v/>
      </c>
      <c r="H326" s="4">
        <f>PROPER(TRIM(Raw_Data!H326))</f>
        <v/>
      </c>
      <c r="I326" s="4">
        <f>PROPER(TRIM(Raw_Data!I326))</f>
        <v/>
      </c>
      <c r="J326" s="4">
        <f>TRIM(Raw_Data!J326)</f>
        <v/>
      </c>
      <c r="K326" s="4">
        <f>Raw_Data!K326</f>
        <v/>
      </c>
      <c r="L326" s="4">
        <f>IF(TRIM(Raw_Data!L326)="","No Coupon",TRIM(Raw_Data!L326))</f>
        <v/>
      </c>
      <c r="M326" s="4">
        <f>PROPER(TRIM(Raw_Data!M326))</f>
        <v/>
      </c>
      <c r="N326" s="6">
        <f>ROUND(Raw_Data!N326,2)</f>
        <v/>
      </c>
      <c r="O326" s="7">
        <f>IF(COUNTIF($A$2:$A$1201,A326)&gt;1,"DUPLICATE","Unique")</f>
        <v/>
      </c>
      <c r="P326" s="7">
        <f>IF(COUNTIF($J$2:$J$1201,J326)&gt;1,"DUPLICATE","Unique")</f>
        <v/>
      </c>
      <c r="Q326" s="4">
        <f>IF(TRIM(Raw_Data!L326)="","Yes","No")</f>
        <v/>
      </c>
      <c r="R326" s="4">
        <f>IF(ISNUMBER(B326),"Valid","INVALID")</f>
        <v/>
      </c>
    </row>
    <row r="327">
      <c r="A327" s="4">
        <f>TRIM(Raw_Data!A327)</f>
        <v/>
      </c>
      <c r="B327" s="5">
        <f>Raw_Data!B327</f>
        <v/>
      </c>
      <c r="C327" s="4">
        <f>TRIM(Raw_Data!C327)</f>
        <v/>
      </c>
      <c r="D327" s="4">
        <f>PROPER(TRIM(Raw_Data!D327))</f>
        <v/>
      </c>
      <c r="E327" s="4">
        <f>Raw_Data!E327</f>
        <v/>
      </c>
      <c r="F327" s="6">
        <f>ROUND(Raw_Data!F327,2)</f>
        <v/>
      </c>
      <c r="G327" s="4">
        <f>PROPER(TRIM(Raw_Data!G327))</f>
        <v/>
      </c>
      <c r="H327" s="4">
        <f>PROPER(TRIM(Raw_Data!H327))</f>
        <v/>
      </c>
      <c r="I327" s="4">
        <f>PROPER(TRIM(Raw_Data!I327))</f>
        <v/>
      </c>
      <c r="J327" s="4">
        <f>TRIM(Raw_Data!J327)</f>
        <v/>
      </c>
      <c r="K327" s="4">
        <f>Raw_Data!K327</f>
        <v/>
      </c>
      <c r="L327" s="4">
        <f>IF(TRIM(Raw_Data!L327)="","No Coupon",TRIM(Raw_Data!L327))</f>
        <v/>
      </c>
      <c r="M327" s="4">
        <f>PROPER(TRIM(Raw_Data!M327))</f>
        <v/>
      </c>
      <c r="N327" s="6">
        <f>ROUND(Raw_Data!N327,2)</f>
        <v/>
      </c>
      <c r="O327" s="7">
        <f>IF(COUNTIF($A$2:$A$1201,A327)&gt;1,"DUPLICATE","Unique")</f>
        <v/>
      </c>
      <c r="P327" s="7">
        <f>IF(COUNTIF($J$2:$J$1201,J327)&gt;1,"DUPLICATE","Unique")</f>
        <v/>
      </c>
      <c r="Q327" s="4">
        <f>IF(TRIM(Raw_Data!L327)="","Yes","No")</f>
        <v/>
      </c>
      <c r="R327" s="4">
        <f>IF(ISNUMBER(B327),"Valid","INVALID")</f>
        <v/>
      </c>
    </row>
    <row r="328">
      <c r="A328" s="4">
        <f>TRIM(Raw_Data!A328)</f>
        <v/>
      </c>
      <c r="B328" s="5">
        <f>Raw_Data!B328</f>
        <v/>
      </c>
      <c r="C328" s="4">
        <f>TRIM(Raw_Data!C328)</f>
        <v/>
      </c>
      <c r="D328" s="4">
        <f>PROPER(TRIM(Raw_Data!D328))</f>
        <v/>
      </c>
      <c r="E328" s="4">
        <f>Raw_Data!E328</f>
        <v/>
      </c>
      <c r="F328" s="6">
        <f>ROUND(Raw_Data!F328,2)</f>
        <v/>
      </c>
      <c r="G328" s="4">
        <f>PROPER(TRIM(Raw_Data!G328))</f>
        <v/>
      </c>
      <c r="H328" s="4">
        <f>PROPER(TRIM(Raw_Data!H328))</f>
        <v/>
      </c>
      <c r="I328" s="4">
        <f>PROPER(TRIM(Raw_Data!I328))</f>
        <v/>
      </c>
      <c r="J328" s="4">
        <f>TRIM(Raw_Data!J328)</f>
        <v/>
      </c>
      <c r="K328" s="4">
        <f>Raw_Data!K328</f>
        <v/>
      </c>
      <c r="L328" s="4">
        <f>IF(TRIM(Raw_Data!L328)="","No Coupon",TRIM(Raw_Data!L328))</f>
        <v/>
      </c>
      <c r="M328" s="4">
        <f>PROPER(TRIM(Raw_Data!M328))</f>
        <v/>
      </c>
      <c r="N328" s="6">
        <f>ROUND(Raw_Data!N328,2)</f>
        <v/>
      </c>
      <c r="O328" s="7">
        <f>IF(COUNTIF($A$2:$A$1201,A328)&gt;1,"DUPLICATE","Unique")</f>
        <v/>
      </c>
      <c r="P328" s="7">
        <f>IF(COUNTIF($J$2:$J$1201,J328)&gt;1,"DUPLICATE","Unique")</f>
        <v/>
      </c>
      <c r="Q328" s="4">
        <f>IF(TRIM(Raw_Data!L328)="","Yes","No")</f>
        <v/>
      </c>
      <c r="R328" s="4">
        <f>IF(ISNUMBER(B328),"Valid","INVALID")</f>
        <v/>
      </c>
    </row>
    <row r="329">
      <c r="A329" s="4">
        <f>TRIM(Raw_Data!A329)</f>
        <v/>
      </c>
      <c r="B329" s="5">
        <f>Raw_Data!B329</f>
        <v/>
      </c>
      <c r="C329" s="4">
        <f>TRIM(Raw_Data!C329)</f>
        <v/>
      </c>
      <c r="D329" s="4">
        <f>PROPER(TRIM(Raw_Data!D329))</f>
        <v/>
      </c>
      <c r="E329" s="4">
        <f>Raw_Data!E329</f>
        <v/>
      </c>
      <c r="F329" s="6">
        <f>ROUND(Raw_Data!F329,2)</f>
        <v/>
      </c>
      <c r="G329" s="4">
        <f>PROPER(TRIM(Raw_Data!G329))</f>
        <v/>
      </c>
      <c r="H329" s="4">
        <f>PROPER(TRIM(Raw_Data!H329))</f>
        <v/>
      </c>
      <c r="I329" s="4">
        <f>PROPER(TRIM(Raw_Data!I329))</f>
        <v/>
      </c>
      <c r="J329" s="4">
        <f>TRIM(Raw_Data!J329)</f>
        <v/>
      </c>
      <c r="K329" s="4">
        <f>Raw_Data!K329</f>
        <v/>
      </c>
      <c r="L329" s="4">
        <f>IF(TRIM(Raw_Data!L329)="","No Coupon",TRIM(Raw_Data!L329))</f>
        <v/>
      </c>
      <c r="M329" s="4">
        <f>PROPER(TRIM(Raw_Data!M329))</f>
        <v/>
      </c>
      <c r="N329" s="6">
        <f>ROUND(Raw_Data!N329,2)</f>
        <v/>
      </c>
      <c r="O329" s="7">
        <f>IF(COUNTIF($A$2:$A$1201,A329)&gt;1,"DUPLICATE","Unique")</f>
        <v/>
      </c>
      <c r="P329" s="7">
        <f>IF(COUNTIF($J$2:$J$1201,J329)&gt;1,"DUPLICATE","Unique")</f>
        <v/>
      </c>
      <c r="Q329" s="4">
        <f>IF(TRIM(Raw_Data!L329)="","Yes","No")</f>
        <v/>
      </c>
      <c r="R329" s="4">
        <f>IF(ISNUMBER(B329),"Valid","INVALID")</f>
        <v/>
      </c>
    </row>
    <row r="330">
      <c r="A330" s="4">
        <f>TRIM(Raw_Data!A330)</f>
        <v/>
      </c>
      <c r="B330" s="5">
        <f>Raw_Data!B330</f>
        <v/>
      </c>
      <c r="C330" s="4">
        <f>TRIM(Raw_Data!C330)</f>
        <v/>
      </c>
      <c r="D330" s="4">
        <f>PROPER(TRIM(Raw_Data!D330))</f>
        <v/>
      </c>
      <c r="E330" s="4">
        <f>Raw_Data!E330</f>
        <v/>
      </c>
      <c r="F330" s="6">
        <f>ROUND(Raw_Data!F330,2)</f>
        <v/>
      </c>
      <c r="G330" s="4">
        <f>PROPER(TRIM(Raw_Data!G330))</f>
        <v/>
      </c>
      <c r="H330" s="4">
        <f>PROPER(TRIM(Raw_Data!H330))</f>
        <v/>
      </c>
      <c r="I330" s="4">
        <f>PROPER(TRIM(Raw_Data!I330))</f>
        <v/>
      </c>
      <c r="J330" s="4">
        <f>TRIM(Raw_Data!J330)</f>
        <v/>
      </c>
      <c r="K330" s="4">
        <f>Raw_Data!K330</f>
        <v/>
      </c>
      <c r="L330" s="4">
        <f>IF(TRIM(Raw_Data!L330)="","No Coupon",TRIM(Raw_Data!L330))</f>
        <v/>
      </c>
      <c r="M330" s="4">
        <f>PROPER(TRIM(Raw_Data!M330))</f>
        <v/>
      </c>
      <c r="N330" s="6">
        <f>ROUND(Raw_Data!N330,2)</f>
        <v/>
      </c>
      <c r="O330" s="7">
        <f>IF(COUNTIF($A$2:$A$1201,A330)&gt;1,"DUPLICATE","Unique")</f>
        <v/>
      </c>
      <c r="P330" s="7">
        <f>IF(COUNTIF($J$2:$J$1201,J330)&gt;1,"DUPLICATE","Unique")</f>
        <v/>
      </c>
      <c r="Q330" s="4">
        <f>IF(TRIM(Raw_Data!L330)="","Yes","No")</f>
        <v/>
      </c>
      <c r="R330" s="4">
        <f>IF(ISNUMBER(B330),"Valid","INVALID")</f>
        <v/>
      </c>
    </row>
    <row r="331">
      <c r="A331" s="4">
        <f>TRIM(Raw_Data!A331)</f>
        <v/>
      </c>
      <c r="B331" s="5">
        <f>Raw_Data!B331</f>
        <v/>
      </c>
      <c r="C331" s="4">
        <f>TRIM(Raw_Data!C331)</f>
        <v/>
      </c>
      <c r="D331" s="4">
        <f>PROPER(TRIM(Raw_Data!D331))</f>
        <v/>
      </c>
      <c r="E331" s="4">
        <f>Raw_Data!E331</f>
        <v/>
      </c>
      <c r="F331" s="6">
        <f>ROUND(Raw_Data!F331,2)</f>
        <v/>
      </c>
      <c r="G331" s="4">
        <f>PROPER(TRIM(Raw_Data!G331))</f>
        <v/>
      </c>
      <c r="H331" s="4">
        <f>PROPER(TRIM(Raw_Data!H331))</f>
        <v/>
      </c>
      <c r="I331" s="4">
        <f>PROPER(TRIM(Raw_Data!I331))</f>
        <v/>
      </c>
      <c r="J331" s="4">
        <f>TRIM(Raw_Data!J331)</f>
        <v/>
      </c>
      <c r="K331" s="4">
        <f>Raw_Data!K331</f>
        <v/>
      </c>
      <c r="L331" s="4">
        <f>IF(TRIM(Raw_Data!L331)="","No Coupon",TRIM(Raw_Data!L331))</f>
        <v/>
      </c>
      <c r="M331" s="4">
        <f>PROPER(TRIM(Raw_Data!M331))</f>
        <v/>
      </c>
      <c r="N331" s="6">
        <f>ROUND(Raw_Data!N331,2)</f>
        <v/>
      </c>
      <c r="O331" s="7">
        <f>IF(COUNTIF($A$2:$A$1201,A331)&gt;1,"DUPLICATE","Unique")</f>
        <v/>
      </c>
      <c r="P331" s="7">
        <f>IF(COUNTIF($J$2:$J$1201,J331)&gt;1,"DUPLICATE","Unique")</f>
        <v/>
      </c>
      <c r="Q331" s="4">
        <f>IF(TRIM(Raw_Data!L331)="","Yes","No")</f>
        <v/>
      </c>
      <c r="R331" s="4">
        <f>IF(ISNUMBER(B331),"Valid","INVALID")</f>
        <v/>
      </c>
    </row>
    <row r="332">
      <c r="A332" s="4">
        <f>TRIM(Raw_Data!A332)</f>
        <v/>
      </c>
      <c r="B332" s="5">
        <f>Raw_Data!B332</f>
        <v/>
      </c>
      <c r="C332" s="4">
        <f>TRIM(Raw_Data!C332)</f>
        <v/>
      </c>
      <c r="D332" s="4">
        <f>PROPER(TRIM(Raw_Data!D332))</f>
        <v/>
      </c>
      <c r="E332" s="4">
        <f>Raw_Data!E332</f>
        <v/>
      </c>
      <c r="F332" s="6">
        <f>ROUND(Raw_Data!F332,2)</f>
        <v/>
      </c>
      <c r="G332" s="4">
        <f>PROPER(TRIM(Raw_Data!G332))</f>
        <v/>
      </c>
      <c r="H332" s="4">
        <f>PROPER(TRIM(Raw_Data!H332))</f>
        <v/>
      </c>
      <c r="I332" s="4">
        <f>PROPER(TRIM(Raw_Data!I332))</f>
        <v/>
      </c>
      <c r="J332" s="4">
        <f>TRIM(Raw_Data!J332)</f>
        <v/>
      </c>
      <c r="K332" s="4">
        <f>Raw_Data!K332</f>
        <v/>
      </c>
      <c r="L332" s="4">
        <f>IF(TRIM(Raw_Data!L332)="","No Coupon",TRIM(Raw_Data!L332))</f>
        <v/>
      </c>
      <c r="M332" s="4">
        <f>PROPER(TRIM(Raw_Data!M332))</f>
        <v/>
      </c>
      <c r="N332" s="6">
        <f>ROUND(Raw_Data!N332,2)</f>
        <v/>
      </c>
      <c r="O332" s="7">
        <f>IF(COUNTIF($A$2:$A$1201,A332)&gt;1,"DUPLICATE","Unique")</f>
        <v/>
      </c>
      <c r="P332" s="7">
        <f>IF(COUNTIF($J$2:$J$1201,J332)&gt;1,"DUPLICATE","Unique")</f>
        <v/>
      </c>
      <c r="Q332" s="4">
        <f>IF(TRIM(Raw_Data!L332)="","Yes","No")</f>
        <v/>
      </c>
      <c r="R332" s="4">
        <f>IF(ISNUMBER(B332),"Valid","INVALID")</f>
        <v/>
      </c>
    </row>
    <row r="333">
      <c r="A333" s="4">
        <f>TRIM(Raw_Data!A333)</f>
        <v/>
      </c>
      <c r="B333" s="5">
        <f>Raw_Data!B333</f>
        <v/>
      </c>
      <c r="C333" s="4">
        <f>TRIM(Raw_Data!C333)</f>
        <v/>
      </c>
      <c r="D333" s="4">
        <f>PROPER(TRIM(Raw_Data!D333))</f>
        <v/>
      </c>
      <c r="E333" s="4">
        <f>Raw_Data!E333</f>
        <v/>
      </c>
      <c r="F333" s="6">
        <f>ROUND(Raw_Data!F333,2)</f>
        <v/>
      </c>
      <c r="G333" s="4">
        <f>PROPER(TRIM(Raw_Data!G333))</f>
        <v/>
      </c>
      <c r="H333" s="4">
        <f>PROPER(TRIM(Raw_Data!H333))</f>
        <v/>
      </c>
      <c r="I333" s="4">
        <f>PROPER(TRIM(Raw_Data!I333))</f>
        <v/>
      </c>
      <c r="J333" s="4">
        <f>TRIM(Raw_Data!J333)</f>
        <v/>
      </c>
      <c r="K333" s="4">
        <f>Raw_Data!K333</f>
        <v/>
      </c>
      <c r="L333" s="4">
        <f>IF(TRIM(Raw_Data!L333)="","No Coupon",TRIM(Raw_Data!L333))</f>
        <v/>
      </c>
      <c r="M333" s="4">
        <f>PROPER(TRIM(Raw_Data!M333))</f>
        <v/>
      </c>
      <c r="N333" s="6">
        <f>ROUND(Raw_Data!N333,2)</f>
        <v/>
      </c>
      <c r="O333" s="7">
        <f>IF(COUNTIF($A$2:$A$1201,A333)&gt;1,"DUPLICATE","Unique")</f>
        <v/>
      </c>
      <c r="P333" s="7">
        <f>IF(COUNTIF($J$2:$J$1201,J333)&gt;1,"DUPLICATE","Unique")</f>
        <v/>
      </c>
      <c r="Q333" s="4">
        <f>IF(TRIM(Raw_Data!L333)="","Yes","No")</f>
        <v/>
      </c>
      <c r="R333" s="4">
        <f>IF(ISNUMBER(B333),"Valid","INVALID")</f>
        <v/>
      </c>
    </row>
    <row r="334">
      <c r="A334" s="4">
        <f>TRIM(Raw_Data!A334)</f>
        <v/>
      </c>
      <c r="B334" s="5">
        <f>Raw_Data!B334</f>
        <v/>
      </c>
      <c r="C334" s="4">
        <f>TRIM(Raw_Data!C334)</f>
        <v/>
      </c>
      <c r="D334" s="4">
        <f>PROPER(TRIM(Raw_Data!D334))</f>
        <v/>
      </c>
      <c r="E334" s="4">
        <f>Raw_Data!E334</f>
        <v/>
      </c>
      <c r="F334" s="6">
        <f>ROUND(Raw_Data!F334,2)</f>
        <v/>
      </c>
      <c r="G334" s="4">
        <f>PROPER(TRIM(Raw_Data!G334))</f>
        <v/>
      </c>
      <c r="H334" s="4">
        <f>PROPER(TRIM(Raw_Data!H334))</f>
        <v/>
      </c>
      <c r="I334" s="4">
        <f>PROPER(TRIM(Raw_Data!I334))</f>
        <v/>
      </c>
      <c r="J334" s="4">
        <f>TRIM(Raw_Data!J334)</f>
        <v/>
      </c>
      <c r="K334" s="4">
        <f>Raw_Data!K334</f>
        <v/>
      </c>
      <c r="L334" s="4">
        <f>IF(TRIM(Raw_Data!L334)="","No Coupon",TRIM(Raw_Data!L334))</f>
        <v/>
      </c>
      <c r="M334" s="4">
        <f>PROPER(TRIM(Raw_Data!M334))</f>
        <v/>
      </c>
      <c r="N334" s="6">
        <f>ROUND(Raw_Data!N334,2)</f>
        <v/>
      </c>
      <c r="O334" s="7">
        <f>IF(COUNTIF($A$2:$A$1201,A334)&gt;1,"DUPLICATE","Unique")</f>
        <v/>
      </c>
      <c r="P334" s="7">
        <f>IF(COUNTIF($J$2:$J$1201,J334)&gt;1,"DUPLICATE","Unique")</f>
        <v/>
      </c>
      <c r="Q334" s="4">
        <f>IF(TRIM(Raw_Data!L334)="","Yes","No")</f>
        <v/>
      </c>
      <c r="R334" s="4">
        <f>IF(ISNUMBER(B334),"Valid","INVALID")</f>
        <v/>
      </c>
    </row>
    <row r="335">
      <c r="A335" s="4">
        <f>TRIM(Raw_Data!A335)</f>
        <v/>
      </c>
      <c r="B335" s="5">
        <f>Raw_Data!B335</f>
        <v/>
      </c>
      <c r="C335" s="4">
        <f>TRIM(Raw_Data!C335)</f>
        <v/>
      </c>
      <c r="D335" s="4">
        <f>PROPER(TRIM(Raw_Data!D335))</f>
        <v/>
      </c>
      <c r="E335" s="4">
        <f>Raw_Data!E335</f>
        <v/>
      </c>
      <c r="F335" s="6">
        <f>ROUND(Raw_Data!F335,2)</f>
        <v/>
      </c>
      <c r="G335" s="4">
        <f>PROPER(TRIM(Raw_Data!G335))</f>
        <v/>
      </c>
      <c r="H335" s="4">
        <f>PROPER(TRIM(Raw_Data!H335))</f>
        <v/>
      </c>
      <c r="I335" s="4">
        <f>PROPER(TRIM(Raw_Data!I335))</f>
        <v/>
      </c>
      <c r="J335" s="4">
        <f>TRIM(Raw_Data!J335)</f>
        <v/>
      </c>
      <c r="K335" s="4">
        <f>Raw_Data!K335</f>
        <v/>
      </c>
      <c r="L335" s="4">
        <f>IF(TRIM(Raw_Data!L335)="","No Coupon",TRIM(Raw_Data!L335))</f>
        <v/>
      </c>
      <c r="M335" s="4">
        <f>PROPER(TRIM(Raw_Data!M335))</f>
        <v/>
      </c>
      <c r="N335" s="6">
        <f>ROUND(Raw_Data!N335,2)</f>
        <v/>
      </c>
      <c r="O335" s="7">
        <f>IF(COUNTIF($A$2:$A$1201,A335)&gt;1,"DUPLICATE","Unique")</f>
        <v/>
      </c>
      <c r="P335" s="7">
        <f>IF(COUNTIF($J$2:$J$1201,J335)&gt;1,"DUPLICATE","Unique")</f>
        <v/>
      </c>
      <c r="Q335" s="4">
        <f>IF(TRIM(Raw_Data!L335)="","Yes","No")</f>
        <v/>
      </c>
      <c r="R335" s="4">
        <f>IF(ISNUMBER(B335),"Valid","INVALID")</f>
        <v/>
      </c>
    </row>
    <row r="336">
      <c r="A336" s="4">
        <f>TRIM(Raw_Data!A336)</f>
        <v/>
      </c>
      <c r="B336" s="5">
        <f>Raw_Data!B336</f>
        <v/>
      </c>
      <c r="C336" s="4">
        <f>TRIM(Raw_Data!C336)</f>
        <v/>
      </c>
      <c r="D336" s="4">
        <f>PROPER(TRIM(Raw_Data!D336))</f>
        <v/>
      </c>
      <c r="E336" s="4">
        <f>Raw_Data!E336</f>
        <v/>
      </c>
      <c r="F336" s="6">
        <f>ROUND(Raw_Data!F336,2)</f>
        <v/>
      </c>
      <c r="G336" s="4">
        <f>PROPER(TRIM(Raw_Data!G336))</f>
        <v/>
      </c>
      <c r="H336" s="4">
        <f>PROPER(TRIM(Raw_Data!H336))</f>
        <v/>
      </c>
      <c r="I336" s="4">
        <f>PROPER(TRIM(Raw_Data!I336))</f>
        <v/>
      </c>
      <c r="J336" s="4">
        <f>TRIM(Raw_Data!J336)</f>
        <v/>
      </c>
      <c r="K336" s="4">
        <f>Raw_Data!K336</f>
        <v/>
      </c>
      <c r="L336" s="4">
        <f>IF(TRIM(Raw_Data!L336)="","No Coupon",TRIM(Raw_Data!L336))</f>
        <v/>
      </c>
      <c r="M336" s="4">
        <f>PROPER(TRIM(Raw_Data!M336))</f>
        <v/>
      </c>
      <c r="N336" s="6">
        <f>ROUND(Raw_Data!N336,2)</f>
        <v/>
      </c>
      <c r="O336" s="7">
        <f>IF(COUNTIF($A$2:$A$1201,A336)&gt;1,"DUPLICATE","Unique")</f>
        <v/>
      </c>
      <c r="P336" s="7">
        <f>IF(COUNTIF($J$2:$J$1201,J336)&gt;1,"DUPLICATE","Unique")</f>
        <v/>
      </c>
      <c r="Q336" s="4">
        <f>IF(TRIM(Raw_Data!L336)="","Yes","No")</f>
        <v/>
      </c>
      <c r="R336" s="4">
        <f>IF(ISNUMBER(B336),"Valid","INVALID")</f>
        <v/>
      </c>
    </row>
    <row r="337">
      <c r="A337" s="4">
        <f>TRIM(Raw_Data!A337)</f>
        <v/>
      </c>
      <c r="B337" s="5">
        <f>Raw_Data!B337</f>
        <v/>
      </c>
      <c r="C337" s="4">
        <f>TRIM(Raw_Data!C337)</f>
        <v/>
      </c>
      <c r="D337" s="4">
        <f>PROPER(TRIM(Raw_Data!D337))</f>
        <v/>
      </c>
      <c r="E337" s="4">
        <f>Raw_Data!E337</f>
        <v/>
      </c>
      <c r="F337" s="6">
        <f>ROUND(Raw_Data!F337,2)</f>
        <v/>
      </c>
      <c r="G337" s="4">
        <f>PROPER(TRIM(Raw_Data!G337))</f>
        <v/>
      </c>
      <c r="H337" s="4">
        <f>PROPER(TRIM(Raw_Data!H337))</f>
        <v/>
      </c>
      <c r="I337" s="4">
        <f>PROPER(TRIM(Raw_Data!I337))</f>
        <v/>
      </c>
      <c r="J337" s="4">
        <f>TRIM(Raw_Data!J337)</f>
        <v/>
      </c>
      <c r="K337" s="4">
        <f>Raw_Data!K337</f>
        <v/>
      </c>
      <c r="L337" s="4">
        <f>IF(TRIM(Raw_Data!L337)="","No Coupon",TRIM(Raw_Data!L337))</f>
        <v/>
      </c>
      <c r="M337" s="4">
        <f>PROPER(TRIM(Raw_Data!M337))</f>
        <v/>
      </c>
      <c r="N337" s="6">
        <f>ROUND(Raw_Data!N337,2)</f>
        <v/>
      </c>
      <c r="O337" s="7">
        <f>IF(COUNTIF($A$2:$A$1201,A337)&gt;1,"DUPLICATE","Unique")</f>
        <v/>
      </c>
      <c r="P337" s="7">
        <f>IF(COUNTIF($J$2:$J$1201,J337)&gt;1,"DUPLICATE","Unique")</f>
        <v/>
      </c>
      <c r="Q337" s="4">
        <f>IF(TRIM(Raw_Data!L337)="","Yes","No")</f>
        <v/>
      </c>
      <c r="R337" s="4">
        <f>IF(ISNUMBER(B337),"Valid","INVALID")</f>
        <v/>
      </c>
    </row>
    <row r="338">
      <c r="A338" s="4">
        <f>TRIM(Raw_Data!A338)</f>
        <v/>
      </c>
      <c r="B338" s="5">
        <f>Raw_Data!B338</f>
        <v/>
      </c>
      <c r="C338" s="4">
        <f>TRIM(Raw_Data!C338)</f>
        <v/>
      </c>
      <c r="D338" s="4">
        <f>PROPER(TRIM(Raw_Data!D338))</f>
        <v/>
      </c>
      <c r="E338" s="4">
        <f>Raw_Data!E338</f>
        <v/>
      </c>
      <c r="F338" s="6">
        <f>ROUND(Raw_Data!F338,2)</f>
        <v/>
      </c>
      <c r="G338" s="4">
        <f>PROPER(TRIM(Raw_Data!G338))</f>
        <v/>
      </c>
      <c r="H338" s="4">
        <f>PROPER(TRIM(Raw_Data!H338))</f>
        <v/>
      </c>
      <c r="I338" s="4">
        <f>PROPER(TRIM(Raw_Data!I338))</f>
        <v/>
      </c>
      <c r="J338" s="4">
        <f>TRIM(Raw_Data!J338)</f>
        <v/>
      </c>
      <c r="K338" s="4">
        <f>Raw_Data!K338</f>
        <v/>
      </c>
      <c r="L338" s="4">
        <f>IF(TRIM(Raw_Data!L338)="","No Coupon",TRIM(Raw_Data!L338))</f>
        <v/>
      </c>
      <c r="M338" s="4">
        <f>PROPER(TRIM(Raw_Data!M338))</f>
        <v/>
      </c>
      <c r="N338" s="6">
        <f>ROUND(Raw_Data!N338,2)</f>
        <v/>
      </c>
      <c r="O338" s="7">
        <f>IF(COUNTIF($A$2:$A$1201,A338)&gt;1,"DUPLICATE","Unique")</f>
        <v/>
      </c>
      <c r="P338" s="7">
        <f>IF(COUNTIF($J$2:$J$1201,J338)&gt;1,"DUPLICATE","Unique")</f>
        <v/>
      </c>
      <c r="Q338" s="4">
        <f>IF(TRIM(Raw_Data!L338)="","Yes","No")</f>
        <v/>
      </c>
      <c r="R338" s="4">
        <f>IF(ISNUMBER(B338),"Valid","INVALID")</f>
        <v/>
      </c>
    </row>
    <row r="339">
      <c r="A339" s="4">
        <f>TRIM(Raw_Data!A339)</f>
        <v/>
      </c>
      <c r="B339" s="5">
        <f>Raw_Data!B339</f>
        <v/>
      </c>
      <c r="C339" s="4">
        <f>TRIM(Raw_Data!C339)</f>
        <v/>
      </c>
      <c r="D339" s="4">
        <f>PROPER(TRIM(Raw_Data!D339))</f>
        <v/>
      </c>
      <c r="E339" s="4">
        <f>Raw_Data!E339</f>
        <v/>
      </c>
      <c r="F339" s="6">
        <f>ROUND(Raw_Data!F339,2)</f>
        <v/>
      </c>
      <c r="G339" s="4">
        <f>PROPER(TRIM(Raw_Data!G339))</f>
        <v/>
      </c>
      <c r="H339" s="4">
        <f>PROPER(TRIM(Raw_Data!H339))</f>
        <v/>
      </c>
      <c r="I339" s="4">
        <f>PROPER(TRIM(Raw_Data!I339))</f>
        <v/>
      </c>
      <c r="J339" s="4">
        <f>TRIM(Raw_Data!J339)</f>
        <v/>
      </c>
      <c r="K339" s="4">
        <f>Raw_Data!K339</f>
        <v/>
      </c>
      <c r="L339" s="4">
        <f>IF(TRIM(Raw_Data!L339)="","No Coupon",TRIM(Raw_Data!L339))</f>
        <v/>
      </c>
      <c r="M339" s="4">
        <f>PROPER(TRIM(Raw_Data!M339))</f>
        <v/>
      </c>
      <c r="N339" s="6">
        <f>ROUND(Raw_Data!N339,2)</f>
        <v/>
      </c>
      <c r="O339" s="7">
        <f>IF(COUNTIF($A$2:$A$1201,A339)&gt;1,"DUPLICATE","Unique")</f>
        <v/>
      </c>
      <c r="P339" s="7">
        <f>IF(COUNTIF($J$2:$J$1201,J339)&gt;1,"DUPLICATE","Unique")</f>
        <v/>
      </c>
      <c r="Q339" s="4">
        <f>IF(TRIM(Raw_Data!L339)="","Yes","No")</f>
        <v/>
      </c>
      <c r="R339" s="4">
        <f>IF(ISNUMBER(B339),"Valid","INVALID")</f>
        <v/>
      </c>
    </row>
    <row r="340">
      <c r="A340" s="4">
        <f>TRIM(Raw_Data!A340)</f>
        <v/>
      </c>
      <c r="B340" s="5">
        <f>Raw_Data!B340</f>
        <v/>
      </c>
      <c r="C340" s="4">
        <f>TRIM(Raw_Data!C340)</f>
        <v/>
      </c>
      <c r="D340" s="4">
        <f>PROPER(TRIM(Raw_Data!D340))</f>
        <v/>
      </c>
      <c r="E340" s="4">
        <f>Raw_Data!E340</f>
        <v/>
      </c>
      <c r="F340" s="6">
        <f>ROUND(Raw_Data!F340,2)</f>
        <v/>
      </c>
      <c r="G340" s="4">
        <f>PROPER(TRIM(Raw_Data!G340))</f>
        <v/>
      </c>
      <c r="H340" s="4">
        <f>PROPER(TRIM(Raw_Data!H340))</f>
        <v/>
      </c>
      <c r="I340" s="4">
        <f>PROPER(TRIM(Raw_Data!I340))</f>
        <v/>
      </c>
      <c r="J340" s="4">
        <f>TRIM(Raw_Data!J340)</f>
        <v/>
      </c>
      <c r="K340" s="4">
        <f>Raw_Data!K340</f>
        <v/>
      </c>
      <c r="L340" s="4">
        <f>IF(TRIM(Raw_Data!L340)="","No Coupon",TRIM(Raw_Data!L340))</f>
        <v/>
      </c>
      <c r="M340" s="4">
        <f>PROPER(TRIM(Raw_Data!M340))</f>
        <v/>
      </c>
      <c r="N340" s="6">
        <f>ROUND(Raw_Data!N340,2)</f>
        <v/>
      </c>
      <c r="O340" s="7">
        <f>IF(COUNTIF($A$2:$A$1201,A340)&gt;1,"DUPLICATE","Unique")</f>
        <v/>
      </c>
      <c r="P340" s="7">
        <f>IF(COUNTIF($J$2:$J$1201,J340)&gt;1,"DUPLICATE","Unique")</f>
        <v/>
      </c>
      <c r="Q340" s="4">
        <f>IF(TRIM(Raw_Data!L340)="","Yes","No")</f>
        <v/>
      </c>
      <c r="R340" s="4">
        <f>IF(ISNUMBER(B340),"Valid","INVALID")</f>
        <v/>
      </c>
    </row>
    <row r="341">
      <c r="A341" s="4">
        <f>TRIM(Raw_Data!A341)</f>
        <v/>
      </c>
      <c r="B341" s="5">
        <f>Raw_Data!B341</f>
        <v/>
      </c>
      <c r="C341" s="4">
        <f>TRIM(Raw_Data!C341)</f>
        <v/>
      </c>
      <c r="D341" s="4">
        <f>PROPER(TRIM(Raw_Data!D341))</f>
        <v/>
      </c>
      <c r="E341" s="4">
        <f>Raw_Data!E341</f>
        <v/>
      </c>
      <c r="F341" s="6">
        <f>ROUND(Raw_Data!F341,2)</f>
        <v/>
      </c>
      <c r="G341" s="4">
        <f>PROPER(TRIM(Raw_Data!G341))</f>
        <v/>
      </c>
      <c r="H341" s="4">
        <f>PROPER(TRIM(Raw_Data!H341))</f>
        <v/>
      </c>
      <c r="I341" s="4">
        <f>PROPER(TRIM(Raw_Data!I341))</f>
        <v/>
      </c>
      <c r="J341" s="4">
        <f>TRIM(Raw_Data!J341)</f>
        <v/>
      </c>
      <c r="K341" s="4">
        <f>Raw_Data!K341</f>
        <v/>
      </c>
      <c r="L341" s="4">
        <f>IF(TRIM(Raw_Data!L341)="","No Coupon",TRIM(Raw_Data!L341))</f>
        <v/>
      </c>
      <c r="M341" s="4">
        <f>PROPER(TRIM(Raw_Data!M341))</f>
        <v/>
      </c>
      <c r="N341" s="6">
        <f>ROUND(Raw_Data!N341,2)</f>
        <v/>
      </c>
      <c r="O341" s="7">
        <f>IF(COUNTIF($A$2:$A$1201,A341)&gt;1,"DUPLICATE","Unique")</f>
        <v/>
      </c>
      <c r="P341" s="7">
        <f>IF(COUNTIF($J$2:$J$1201,J341)&gt;1,"DUPLICATE","Unique")</f>
        <v/>
      </c>
      <c r="Q341" s="4">
        <f>IF(TRIM(Raw_Data!L341)="","Yes","No")</f>
        <v/>
      </c>
      <c r="R341" s="4">
        <f>IF(ISNUMBER(B341),"Valid","INVALID")</f>
        <v/>
      </c>
    </row>
    <row r="342">
      <c r="A342" s="4">
        <f>TRIM(Raw_Data!A342)</f>
        <v/>
      </c>
      <c r="B342" s="5">
        <f>Raw_Data!B342</f>
        <v/>
      </c>
      <c r="C342" s="4">
        <f>TRIM(Raw_Data!C342)</f>
        <v/>
      </c>
      <c r="D342" s="4">
        <f>PROPER(TRIM(Raw_Data!D342))</f>
        <v/>
      </c>
      <c r="E342" s="4">
        <f>Raw_Data!E342</f>
        <v/>
      </c>
      <c r="F342" s="6">
        <f>ROUND(Raw_Data!F342,2)</f>
        <v/>
      </c>
      <c r="G342" s="4">
        <f>PROPER(TRIM(Raw_Data!G342))</f>
        <v/>
      </c>
      <c r="H342" s="4">
        <f>PROPER(TRIM(Raw_Data!H342))</f>
        <v/>
      </c>
      <c r="I342" s="4">
        <f>PROPER(TRIM(Raw_Data!I342))</f>
        <v/>
      </c>
      <c r="J342" s="4">
        <f>TRIM(Raw_Data!J342)</f>
        <v/>
      </c>
      <c r="K342" s="4">
        <f>Raw_Data!K342</f>
        <v/>
      </c>
      <c r="L342" s="4">
        <f>IF(TRIM(Raw_Data!L342)="","No Coupon",TRIM(Raw_Data!L342))</f>
        <v/>
      </c>
      <c r="M342" s="4">
        <f>PROPER(TRIM(Raw_Data!M342))</f>
        <v/>
      </c>
      <c r="N342" s="6">
        <f>ROUND(Raw_Data!N342,2)</f>
        <v/>
      </c>
      <c r="O342" s="7">
        <f>IF(COUNTIF($A$2:$A$1201,A342)&gt;1,"DUPLICATE","Unique")</f>
        <v/>
      </c>
      <c r="P342" s="7">
        <f>IF(COUNTIF($J$2:$J$1201,J342)&gt;1,"DUPLICATE","Unique")</f>
        <v/>
      </c>
      <c r="Q342" s="4">
        <f>IF(TRIM(Raw_Data!L342)="","Yes","No")</f>
        <v/>
      </c>
      <c r="R342" s="4">
        <f>IF(ISNUMBER(B342),"Valid","INVALID")</f>
        <v/>
      </c>
    </row>
    <row r="343">
      <c r="A343" s="4">
        <f>TRIM(Raw_Data!A343)</f>
        <v/>
      </c>
      <c r="B343" s="5">
        <f>Raw_Data!B343</f>
        <v/>
      </c>
      <c r="C343" s="4">
        <f>TRIM(Raw_Data!C343)</f>
        <v/>
      </c>
      <c r="D343" s="4">
        <f>PROPER(TRIM(Raw_Data!D343))</f>
        <v/>
      </c>
      <c r="E343" s="4">
        <f>Raw_Data!E343</f>
        <v/>
      </c>
      <c r="F343" s="6">
        <f>ROUND(Raw_Data!F343,2)</f>
        <v/>
      </c>
      <c r="G343" s="4">
        <f>PROPER(TRIM(Raw_Data!G343))</f>
        <v/>
      </c>
      <c r="H343" s="4">
        <f>PROPER(TRIM(Raw_Data!H343))</f>
        <v/>
      </c>
      <c r="I343" s="4">
        <f>PROPER(TRIM(Raw_Data!I343))</f>
        <v/>
      </c>
      <c r="J343" s="4">
        <f>TRIM(Raw_Data!J343)</f>
        <v/>
      </c>
      <c r="K343" s="4">
        <f>Raw_Data!K343</f>
        <v/>
      </c>
      <c r="L343" s="4">
        <f>IF(TRIM(Raw_Data!L343)="","No Coupon",TRIM(Raw_Data!L343))</f>
        <v/>
      </c>
      <c r="M343" s="4">
        <f>PROPER(TRIM(Raw_Data!M343))</f>
        <v/>
      </c>
      <c r="N343" s="6">
        <f>ROUND(Raw_Data!N343,2)</f>
        <v/>
      </c>
      <c r="O343" s="7">
        <f>IF(COUNTIF($A$2:$A$1201,A343)&gt;1,"DUPLICATE","Unique")</f>
        <v/>
      </c>
      <c r="P343" s="7">
        <f>IF(COUNTIF($J$2:$J$1201,J343)&gt;1,"DUPLICATE","Unique")</f>
        <v/>
      </c>
      <c r="Q343" s="4">
        <f>IF(TRIM(Raw_Data!L343)="","Yes","No")</f>
        <v/>
      </c>
      <c r="R343" s="4">
        <f>IF(ISNUMBER(B343),"Valid","INVALID")</f>
        <v/>
      </c>
    </row>
    <row r="344">
      <c r="A344" s="4">
        <f>TRIM(Raw_Data!A344)</f>
        <v/>
      </c>
      <c r="B344" s="5">
        <f>Raw_Data!B344</f>
        <v/>
      </c>
      <c r="C344" s="4">
        <f>TRIM(Raw_Data!C344)</f>
        <v/>
      </c>
      <c r="D344" s="4">
        <f>PROPER(TRIM(Raw_Data!D344))</f>
        <v/>
      </c>
      <c r="E344" s="4">
        <f>Raw_Data!E344</f>
        <v/>
      </c>
      <c r="F344" s="6">
        <f>ROUND(Raw_Data!F344,2)</f>
        <v/>
      </c>
      <c r="G344" s="4">
        <f>PROPER(TRIM(Raw_Data!G344))</f>
        <v/>
      </c>
      <c r="H344" s="4">
        <f>PROPER(TRIM(Raw_Data!H344))</f>
        <v/>
      </c>
      <c r="I344" s="4">
        <f>PROPER(TRIM(Raw_Data!I344))</f>
        <v/>
      </c>
      <c r="J344" s="4">
        <f>TRIM(Raw_Data!J344)</f>
        <v/>
      </c>
      <c r="K344" s="4">
        <f>Raw_Data!K344</f>
        <v/>
      </c>
      <c r="L344" s="4">
        <f>IF(TRIM(Raw_Data!L344)="","No Coupon",TRIM(Raw_Data!L344))</f>
        <v/>
      </c>
      <c r="M344" s="4">
        <f>PROPER(TRIM(Raw_Data!M344))</f>
        <v/>
      </c>
      <c r="N344" s="6">
        <f>ROUND(Raw_Data!N344,2)</f>
        <v/>
      </c>
      <c r="O344" s="7">
        <f>IF(COUNTIF($A$2:$A$1201,A344)&gt;1,"DUPLICATE","Unique")</f>
        <v/>
      </c>
      <c r="P344" s="7">
        <f>IF(COUNTIF($J$2:$J$1201,J344)&gt;1,"DUPLICATE","Unique")</f>
        <v/>
      </c>
      <c r="Q344" s="4">
        <f>IF(TRIM(Raw_Data!L344)="","Yes","No")</f>
        <v/>
      </c>
      <c r="R344" s="4">
        <f>IF(ISNUMBER(B344),"Valid","INVALID")</f>
        <v/>
      </c>
    </row>
    <row r="345">
      <c r="A345" s="4">
        <f>TRIM(Raw_Data!A345)</f>
        <v/>
      </c>
      <c r="B345" s="5">
        <f>Raw_Data!B345</f>
        <v/>
      </c>
      <c r="C345" s="4">
        <f>TRIM(Raw_Data!C345)</f>
        <v/>
      </c>
      <c r="D345" s="4">
        <f>PROPER(TRIM(Raw_Data!D345))</f>
        <v/>
      </c>
      <c r="E345" s="4">
        <f>Raw_Data!E345</f>
        <v/>
      </c>
      <c r="F345" s="6">
        <f>ROUND(Raw_Data!F345,2)</f>
        <v/>
      </c>
      <c r="G345" s="4">
        <f>PROPER(TRIM(Raw_Data!G345))</f>
        <v/>
      </c>
      <c r="H345" s="4">
        <f>PROPER(TRIM(Raw_Data!H345))</f>
        <v/>
      </c>
      <c r="I345" s="4">
        <f>PROPER(TRIM(Raw_Data!I345))</f>
        <v/>
      </c>
      <c r="J345" s="4">
        <f>TRIM(Raw_Data!J345)</f>
        <v/>
      </c>
      <c r="K345" s="4">
        <f>Raw_Data!K345</f>
        <v/>
      </c>
      <c r="L345" s="4">
        <f>IF(TRIM(Raw_Data!L345)="","No Coupon",TRIM(Raw_Data!L345))</f>
        <v/>
      </c>
      <c r="M345" s="4">
        <f>PROPER(TRIM(Raw_Data!M345))</f>
        <v/>
      </c>
      <c r="N345" s="6">
        <f>ROUND(Raw_Data!N345,2)</f>
        <v/>
      </c>
      <c r="O345" s="7">
        <f>IF(COUNTIF($A$2:$A$1201,A345)&gt;1,"DUPLICATE","Unique")</f>
        <v/>
      </c>
      <c r="P345" s="7">
        <f>IF(COUNTIF($J$2:$J$1201,J345)&gt;1,"DUPLICATE","Unique")</f>
        <v/>
      </c>
      <c r="Q345" s="4">
        <f>IF(TRIM(Raw_Data!L345)="","Yes","No")</f>
        <v/>
      </c>
      <c r="R345" s="4">
        <f>IF(ISNUMBER(B345),"Valid","INVALID")</f>
        <v/>
      </c>
    </row>
    <row r="346">
      <c r="A346" s="4">
        <f>TRIM(Raw_Data!A346)</f>
        <v/>
      </c>
      <c r="B346" s="5">
        <f>Raw_Data!B346</f>
        <v/>
      </c>
      <c r="C346" s="4">
        <f>TRIM(Raw_Data!C346)</f>
        <v/>
      </c>
      <c r="D346" s="4">
        <f>PROPER(TRIM(Raw_Data!D346))</f>
        <v/>
      </c>
      <c r="E346" s="4">
        <f>Raw_Data!E346</f>
        <v/>
      </c>
      <c r="F346" s="6">
        <f>ROUND(Raw_Data!F346,2)</f>
        <v/>
      </c>
      <c r="G346" s="4">
        <f>PROPER(TRIM(Raw_Data!G346))</f>
        <v/>
      </c>
      <c r="H346" s="4">
        <f>PROPER(TRIM(Raw_Data!H346))</f>
        <v/>
      </c>
      <c r="I346" s="4">
        <f>PROPER(TRIM(Raw_Data!I346))</f>
        <v/>
      </c>
      <c r="J346" s="4">
        <f>TRIM(Raw_Data!J346)</f>
        <v/>
      </c>
      <c r="K346" s="4">
        <f>Raw_Data!K346</f>
        <v/>
      </c>
      <c r="L346" s="4">
        <f>IF(TRIM(Raw_Data!L346)="","No Coupon",TRIM(Raw_Data!L346))</f>
        <v/>
      </c>
      <c r="M346" s="4">
        <f>PROPER(TRIM(Raw_Data!M346))</f>
        <v/>
      </c>
      <c r="N346" s="6">
        <f>ROUND(Raw_Data!N346,2)</f>
        <v/>
      </c>
      <c r="O346" s="7">
        <f>IF(COUNTIF($A$2:$A$1201,A346)&gt;1,"DUPLICATE","Unique")</f>
        <v/>
      </c>
      <c r="P346" s="7">
        <f>IF(COUNTIF($J$2:$J$1201,J346)&gt;1,"DUPLICATE","Unique")</f>
        <v/>
      </c>
      <c r="Q346" s="4">
        <f>IF(TRIM(Raw_Data!L346)="","Yes","No")</f>
        <v/>
      </c>
      <c r="R346" s="4">
        <f>IF(ISNUMBER(B346),"Valid","INVALID")</f>
        <v/>
      </c>
    </row>
    <row r="347">
      <c r="A347" s="4">
        <f>TRIM(Raw_Data!A347)</f>
        <v/>
      </c>
      <c r="B347" s="5">
        <f>Raw_Data!B347</f>
        <v/>
      </c>
      <c r="C347" s="4">
        <f>TRIM(Raw_Data!C347)</f>
        <v/>
      </c>
      <c r="D347" s="4">
        <f>PROPER(TRIM(Raw_Data!D347))</f>
        <v/>
      </c>
      <c r="E347" s="4">
        <f>Raw_Data!E347</f>
        <v/>
      </c>
      <c r="F347" s="6">
        <f>ROUND(Raw_Data!F347,2)</f>
        <v/>
      </c>
      <c r="G347" s="4">
        <f>PROPER(TRIM(Raw_Data!G347))</f>
        <v/>
      </c>
      <c r="H347" s="4">
        <f>PROPER(TRIM(Raw_Data!H347))</f>
        <v/>
      </c>
      <c r="I347" s="4">
        <f>PROPER(TRIM(Raw_Data!I347))</f>
        <v/>
      </c>
      <c r="J347" s="4">
        <f>TRIM(Raw_Data!J347)</f>
        <v/>
      </c>
      <c r="K347" s="4">
        <f>Raw_Data!K347</f>
        <v/>
      </c>
      <c r="L347" s="4">
        <f>IF(TRIM(Raw_Data!L347)="","No Coupon",TRIM(Raw_Data!L347))</f>
        <v/>
      </c>
      <c r="M347" s="4">
        <f>PROPER(TRIM(Raw_Data!M347))</f>
        <v/>
      </c>
      <c r="N347" s="6">
        <f>ROUND(Raw_Data!N347,2)</f>
        <v/>
      </c>
      <c r="O347" s="7">
        <f>IF(COUNTIF($A$2:$A$1201,A347)&gt;1,"DUPLICATE","Unique")</f>
        <v/>
      </c>
      <c r="P347" s="7">
        <f>IF(COUNTIF($J$2:$J$1201,J347)&gt;1,"DUPLICATE","Unique")</f>
        <v/>
      </c>
      <c r="Q347" s="4">
        <f>IF(TRIM(Raw_Data!L347)="","Yes","No")</f>
        <v/>
      </c>
      <c r="R347" s="4">
        <f>IF(ISNUMBER(B347),"Valid","INVALID")</f>
        <v/>
      </c>
    </row>
    <row r="348">
      <c r="A348" s="4">
        <f>TRIM(Raw_Data!A348)</f>
        <v/>
      </c>
      <c r="B348" s="5">
        <f>Raw_Data!B348</f>
        <v/>
      </c>
      <c r="C348" s="4">
        <f>TRIM(Raw_Data!C348)</f>
        <v/>
      </c>
      <c r="D348" s="4">
        <f>PROPER(TRIM(Raw_Data!D348))</f>
        <v/>
      </c>
      <c r="E348" s="4">
        <f>Raw_Data!E348</f>
        <v/>
      </c>
      <c r="F348" s="6">
        <f>ROUND(Raw_Data!F348,2)</f>
        <v/>
      </c>
      <c r="G348" s="4">
        <f>PROPER(TRIM(Raw_Data!G348))</f>
        <v/>
      </c>
      <c r="H348" s="4">
        <f>PROPER(TRIM(Raw_Data!H348))</f>
        <v/>
      </c>
      <c r="I348" s="4">
        <f>PROPER(TRIM(Raw_Data!I348))</f>
        <v/>
      </c>
      <c r="J348" s="4">
        <f>TRIM(Raw_Data!J348)</f>
        <v/>
      </c>
      <c r="K348" s="4">
        <f>Raw_Data!K348</f>
        <v/>
      </c>
      <c r="L348" s="4">
        <f>IF(TRIM(Raw_Data!L348)="","No Coupon",TRIM(Raw_Data!L348))</f>
        <v/>
      </c>
      <c r="M348" s="4">
        <f>PROPER(TRIM(Raw_Data!M348))</f>
        <v/>
      </c>
      <c r="N348" s="6">
        <f>ROUND(Raw_Data!N348,2)</f>
        <v/>
      </c>
      <c r="O348" s="7">
        <f>IF(COUNTIF($A$2:$A$1201,A348)&gt;1,"DUPLICATE","Unique")</f>
        <v/>
      </c>
      <c r="P348" s="7">
        <f>IF(COUNTIF($J$2:$J$1201,J348)&gt;1,"DUPLICATE","Unique")</f>
        <v/>
      </c>
      <c r="Q348" s="4">
        <f>IF(TRIM(Raw_Data!L348)="","Yes","No")</f>
        <v/>
      </c>
      <c r="R348" s="4">
        <f>IF(ISNUMBER(B348),"Valid","INVALID")</f>
        <v/>
      </c>
    </row>
    <row r="349">
      <c r="A349" s="4">
        <f>TRIM(Raw_Data!A349)</f>
        <v/>
      </c>
      <c r="B349" s="5">
        <f>Raw_Data!B349</f>
        <v/>
      </c>
      <c r="C349" s="4">
        <f>TRIM(Raw_Data!C349)</f>
        <v/>
      </c>
      <c r="D349" s="4">
        <f>PROPER(TRIM(Raw_Data!D349))</f>
        <v/>
      </c>
      <c r="E349" s="4">
        <f>Raw_Data!E349</f>
        <v/>
      </c>
      <c r="F349" s="6">
        <f>ROUND(Raw_Data!F349,2)</f>
        <v/>
      </c>
      <c r="G349" s="4">
        <f>PROPER(TRIM(Raw_Data!G349))</f>
        <v/>
      </c>
      <c r="H349" s="4">
        <f>PROPER(TRIM(Raw_Data!H349))</f>
        <v/>
      </c>
      <c r="I349" s="4">
        <f>PROPER(TRIM(Raw_Data!I349))</f>
        <v/>
      </c>
      <c r="J349" s="4">
        <f>TRIM(Raw_Data!J349)</f>
        <v/>
      </c>
      <c r="K349" s="4">
        <f>Raw_Data!K349</f>
        <v/>
      </c>
      <c r="L349" s="4">
        <f>IF(TRIM(Raw_Data!L349)="","No Coupon",TRIM(Raw_Data!L349))</f>
        <v/>
      </c>
      <c r="M349" s="4">
        <f>PROPER(TRIM(Raw_Data!M349))</f>
        <v/>
      </c>
      <c r="N349" s="6">
        <f>ROUND(Raw_Data!N349,2)</f>
        <v/>
      </c>
      <c r="O349" s="7">
        <f>IF(COUNTIF($A$2:$A$1201,A349)&gt;1,"DUPLICATE","Unique")</f>
        <v/>
      </c>
      <c r="P349" s="7">
        <f>IF(COUNTIF($J$2:$J$1201,J349)&gt;1,"DUPLICATE","Unique")</f>
        <v/>
      </c>
      <c r="Q349" s="4">
        <f>IF(TRIM(Raw_Data!L349)="","Yes","No")</f>
        <v/>
      </c>
      <c r="R349" s="4">
        <f>IF(ISNUMBER(B349),"Valid","INVALID")</f>
        <v/>
      </c>
    </row>
    <row r="350">
      <c r="A350" s="4">
        <f>TRIM(Raw_Data!A350)</f>
        <v/>
      </c>
      <c r="B350" s="5">
        <f>Raw_Data!B350</f>
        <v/>
      </c>
      <c r="C350" s="4">
        <f>TRIM(Raw_Data!C350)</f>
        <v/>
      </c>
      <c r="D350" s="4">
        <f>PROPER(TRIM(Raw_Data!D350))</f>
        <v/>
      </c>
      <c r="E350" s="4">
        <f>Raw_Data!E350</f>
        <v/>
      </c>
      <c r="F350" s="6">
        <f>ROUND(Raw_Data!F350,2)</f>
        <v/>
      </c>
      <c r="G350" s="4">
        <f>PROPER(TRIM(Raw_Data!G350))</f>
        <v/>
      </c>
      <c r="H350" s="4">
        <f>PROPER(TRIM(Raw_Data!H350))</f>
        <v/>
      </c>
      <c r="I350" s="4">
        <f>PROPER(TRIM(Raw_Data!I350))</f>
        <v/>
      </c>
      <c r="J350" s="4">
        <f>TRIM(Raw_Data!J350)</f>
        <v/>
      </c>
      <c r="K350" s="4">
        <f>Raw_Data!K350</f>
        <v/>
      </c>
      <c r="L350" s="4">
        <f>IF(TRIM(Raw_Data!L350)="","No Coupon",TRIM(Raw_Data!L350))</f>
        <v/>
      </c>
      <c r="M350" s="4">
        <f>PROPER(TRIM(Raw_Data!M350))</f>
        <v/>
      </c>
      <c r="N350" s="6">
        <f>ROUND(Raw_Data!N350,2)</f>
        <v/>
      </c>
      <c r="O350" s="7">
        <f>IF(COUNTIF($A$2:$A$1201,A350)&gt;1,"DUPLICATE","Unique")</f>
        <v/>
      </c>
      <c r="P350" s="7">
        <f>IF(COUNTIF($J$2:$J$1201,J350)&gt;1,"DUPLICATE","Unique")</f>
        <v/>
      </c>
      <c r="Q350" s="4">
        <f>IF(TRIM(Raw_Data!L350)="","Yes","No")</f>
        <v/>
      </c>
      <c r="R350" s="4">
        <f>IF(ISNUMBER(B350),"Valid","INVALID")</f>
        <v/>
      </c>
    </row>
    <row r="351">
      <c r="A351" s="4">
        <f>TRIM(Raw_Data!A351)</f>
        <v/>
      </c>
      <c r="B351" s="5">
        <f>Raw_Data!B351</f>
        <v/>
      </c>
      <c r="C351" s="4">
        <f>TRIM(Raw_Data!C351)</f>
        <v/>
      </c>
      <c r="D351" s="4">
        <f>PROPER(TRIM(Raw_Data!D351))</f>
        <v/>
      </c>
      <c r="E351" s="4">
        <f>Raw_Data!E351</f>
        <v/>
      </c>
      <c r="F351" s="6">
        <f>ROUND(Raw_Data!F351,2)</f>
        <v/>
      </c>
      <c r="G351" s="4">
        <f>PROPER(TRIM(Raw_Data!G351))</f>
        <v/>
      </c>
      <c r="H351" s="4">
        <f>PROPER(TRIM(Raw_Data!H351))</f>
        <v/>
      </c>
      <c r="I351" s="4">
        <f>PROPER(TRIM(Raw_Data!I351))</f>
        <v/>
      </c>
      <c r="J351" s="4">
        <f>TRIM(Raw_Data!J351)</f>
        <v/>
      </c>
      <c r="K351" s="4">
        <f>Raw_Data!K351</f>
        <v/>
      </c>
      <c r="L351" s="4">
        <f>IF(TRIM(Raw_Data!L351)="","No Coupon",TRIM(Raw_Data!L351))</f>
        <v/>
      </c>
      <c r="M351" s="4">
        <f>PROPER(TRIM(Raw_Data!M351))</f>
        <v/>
      </c>
      <c r="N351" s="6">
        <f>ROUND(Raw_Data!N351,2)</f>
        <v/>
      </c>
      <c r="O351" s="7">
        <f>IF(COUNTIF($A$2:$A$1201,A351)&gt;1,"DUPLICATE","Unique")</f>
        <v/>
      </c>
      <c r="P351" s="7">
        <f>IF(COUNTIF($J$2:$J$1201,J351)&gt;1,"DUPLICATE","Unique")</f>
        <v/>
      </c>
      <c r="Q351" s="4">
        <f>IF(TRIM(Raw_Data!L351)="","Yes","No")</f>
        <v/>
      </c>
      <c r="R351" s="4">
        <f>IF(ISNUMBER(B351),"Valid","INVALID")</f>
        <v/>
      </c>
    </row>
    <row r="352">
      <c r="A352" s="4">
        <f>TRIM(Raw_Data!A352)</f>
        <v/>
      </c>
      <c r="B352" s="5">
        <f>Raw_Data!B352</f>
        <v/>
      </c>
      <c r="C352" s="4">
        <f>TRIM(Raw_Data!C352)</f>
        <v/>
      </c>
      <c r="D352" s="4">
        <f>PROPER(TRIM(Raw_Data!D352))</f>
        <v/>
      </c>
      <c r="E352" s="4">
        <f>Raw_Data!E352</f>
        <v/>
      </c>
      <c r="F352" s="6">
        <f>ROUND(Raw_Data!F352,2)</f>
        <v/>
      </c>
      <c r="G352" s="4">
        <f>PROPER(TRIM(Raw_Data!G352))</f>
        <v/>
      </c>
      <c r="H352" s="4">
        <f>PROPER(TRIM(Raw_Data!H352))</f>
        <v/>
      </c>
      <c r="I352" s="4">
        <f>PROPER(TRIM(Raw_Data!I352))</f>
        <v/>
      </c>
      <c r="J352" s="4">
        <f>TRIM(Raw_Data!J352)</f>
        <v/>
      </c>
      <c r="K352" s="4">
        <f>Raw_Data!K352</f>
        <v/>
      </c>
      <c r="L352" s="4">
        <f>IF(TRIM(Raw_Data!L352)="","No Coupon",TRIM(Raw_Data!L352))</f>
        <v/>
      </c>
      <c r="M352" s="4">
        <f>PROPER(TRIM(Raw_Data!M352))</f>
        <v/>
      </c>
      <c r="N352" s="6">
        <f>ROUND(Raw_Data!N352,2)</f>
        <v/>
      </c>
      <c r="O352" s="7">
        <f>IF(COUNTIF($A$2:$A$1201,A352)&gt;1,"DUPLICATE","Unique")</f>
        <v/>
      </c>
      <c r="P352" s="7">
        <f>IF(COUNTIF($J$2:$J$1201,J352)&gt;1,"DUPLICATE","Unique")</f>
        <v/>
      </c>
      <c r="Q352" s="4">
        <f>IF(TRIM(Raw_Data!L352)="","Yes","No")</f>
        <v/>
      </c>
      <c r="R352" s="4">
        <f>IF(ISNUMBER(B352),"Valid","INVALID")</f>
        <v/>
      </c>
    </row>
    <row r="353">
      <c r="A353" s="4">
        <f>TRIM(Raw_Data!A353)</f>
        <v/>
      </c>
      <c r="B353" s="5">
        <f>Raw_Data!B353</f>
        <v/>
      </c>
      <c r="C353" s="4">
        <f>TRIM(Raw_Data!C353)</f>
        <v/>
      </c>
      <c r="D353" s="4">
        <f>PROPER(TRIM(Raw_Data!D353))</f>
        <v/>
      </c>
      <c r="E353" s="4">
        <f>Raw_Data!E353</f>
        <v/>
      </c>
      <c r="F353" s="6">
        <f>ROUND(Raw_Data!F353,2)</f>
        <v/>
      </c>
      <c r="G353" s="4">
        <f>PROPER(TRIM(Raw_Data!G353))</f>
        <v/>
      </c>
      <c r="H353" s="4">
        <f>PROPER(TRIM(Raw_Data!H353))</f>
        <v/>
      </c>
      <c r="I353" s="4">
        <f>PROPER(TRIM(Raw_Data!I353))</f>
        <v/>
      </c>
      <c r="J353" s="4">
        <f>TRIM(Raw_Data!J353)</f>
        <v/>
      </c>
      <c r="K353" s="4">
        <f>Raw_Data!K353</f>
        <v/>
      </c>
      <c r="L353" s="4">
        <f>IF(TRIM(Raw_Data!L353)="","No Coupon",TRIM(Raw_Data!L353))</f>
        <v/>
      </c>
      <c r="M353" s="4">
        <f>PROPER(TRIM(Raw_Data!M353))</f>
        <v/>
      </c>
      <c r="N353" s="6">
        <f>ROUND(Raw_Data!N353,2)</f>
        <v/>
      </c>
      <c r="O353" s="7">
        <f>IF(COUNTIF($A$2:$A$1201,A353)&gt;1,"DUPLICATE","Unique")</f>
        <v/>
      </c>
      <c r="P353" s="7">
        <f>IF(COUNTIF($J$2:$J$1201,J353)&gt;1,"DUPLICATE","Unique")</f>
        <v/>
      </c>
      <c r="Q353" s="4">
        <f>IF(TRIM(Raw_Data!L353)="","Yes","No")</f>
        <v/>
      </c>
      <c r="R353" s="4">
        <f>IF(ISNUMBER(B353),"Valid","INVALID")</f>
        <v/>
      </c>
    </row>
    <row r="354">
      <c r="A354" s="4">
        <f>TRIM(Raw_Data!A354)</f>
        <v/>
      </c>
      <c r="B354" s="5">
        <f>Raw_Data!B354</f>
        <v/>
      </c>
      <c r="C354" s="4">
        <f>TRIM(Raw_Data!C354)</f>
        <v/>
      </c>
      <c r="D354" s="4">
        <f>PROPER(TRIM(Raw_Data!D354))</f>
        <v/>
      </c>
      <c r="E354" s="4">
        <f>Raw_Data!E354</f>
        <v/>
      </c>
      <c r="F354" s="6">
        <f>ROUND(Raw_Data!F354,2)</f>
        <v/>
      </c>
      <c r="G354" s="4">
        <f>PROPER(TRIM(Raw_Data!G354))</f>
        <v/>
      </c>
      <c r="H354" s="4">
        <f>PROPER(TRIM(Raw_Data!H354))</f>
        <v/>
      </c>
      <c r="I354" s="4">
        <f>PROPER(TRIM(Raw_Data!I354))</f>
        <v/>
      </c>
      <c r="J354" s="4">
        <f>TRIM(Raw_Data!J354)</f>
        <v/>
      </c>
      <c r="K354" s="4">
        <f>Raw_Data!K354</f>
        <v/>
      </c>
      <c r="L354" s="4">
        <f>IF(TRIM(Raw_Data!L354)="","No Coupon",TRIM(Raw_Data!L354))</f>
        <v/>
      </c>
      <c r="M354" s="4">
        <f>PROPER(TRIM(Raw_Data!M354))</f>
        <v/>
      </c>
      <c r="N354" s="6">
        <f>ROUND(Raw_Data!N354,2)</f>
        <v/>
      </c>
      <c r="O354" s="7">
        <f>IF(COUNTIF($A$2:$A$1201,A354)&gt;1,"DUPLICATE","Unique")</f>
        <v/>
      </c>
      <c r="P354" s="7">
        <f>IF(COUNTIF($J$2:$J$1201,J354)&gt;1,"DUPLICATE","Unique")</f>
        <v/>
      </c>
      <c r="Q354" s="4">
        <f>IF(TRIM(Raw_Data!L354)="","Yes","No")</f>
        <v/>
      </c>
      <c r="R354" s="4">
        <f>IF(ISNUMBER(B354),"Valid","INVALID")</f>
        <v/>
      </c>
    </row>
    <row r="355">
      <c r="A355" s="4">
        <f>TRIM(Raw_Data!A355)</f>
        <v/>
      </c>
      <c r="B355" s="5">
        <f>Raw_Data!B355</f>
        <v/>
      </c>
      <c r="C355" s="4">
        <f>TRIM(Raw_Data!C355)</f>
        <v/>
      </c>
      <c r="D355" s="4">
        <f>PROPER(TRIM(Raw_Data!D355))</f>
        <v/>
      </c>
      <c r="E355" s="4">
        <f>Raw_Data!E355</f>
        <v/>
      </c>
      <c r="F355" s="6">
        <f>ROUND(Raw_Data!F355,2)</f>
        <v/>
      </c>
      <c r="G355" s="4">
        <f>PROPER(TRIM(Raw_Data!G355))</f>
        <v/>
      </c>
      <c r="H355" s="4">
        <f>PROPER(TRIM(Raw_Data!H355))</f>
        <v/>
      </c>
      <c r="I355" s="4">
        <f>PROPER(TRIM(Raw_Data!I355))</f>
        <v/>
      </c>
      <c r="J355" s="4">
        <f>TRIM(Raw_Data!J355)</f>
        <v/>
      </c>
      <c r="K355" s="4">
        <f>Raw_Data!K355</f>
        <v/>
      </c>
      <c r="L355" s="4">
        <f>IF(TRIM(Raw_Data!L355)="","No Coupon",TRIM(Raw_Data!L355))</f>
        <v/>
      </c>
      <c r="M355" s="4">
        <f>PROPER(TRIM(Raw_Data!M355))</f>
        <v/>
      </c>
      <c r="N355" s="6">
        <f>ROUND(Raw_Data!N355,2)</f>
        <v/>
      </c>
      <c r="O355" s="7">
        <f>IF(COUNTIF($A$2:$A$1201,A355)&gt;1,"DUPLICATE","Unique")</f>
        <v/>
      </c>
      <c r="P355" s="7">
        <f>IF(COUNTIF($J$2:$J$1201,J355)&gt;1,"DUPLICATE","Unique")</f>
        <v/>
      </c>
      <c r="Q355" s="4">
        <f>IF(TRIM(Raw_Data!L355)="","Yes","No")</f>
        <v/>
      </c>
      <c r="R355" s="4">
        <f>IF(ISNUMBER(B355),"Valid","INVALID")</f>
        <v/>
      </c>
    </row>
    <row r="356">
      <c r="A356" s="4">
        <f>TRIM(Raw_Data!A356)</f>
        <v/>
      </c>
      <c r="B356" s="5">
        <f>Raw_Data!B356</f>
        <v/>
      </c>
      <c r="C356" s="4">
        <f>TRIM(Raw_Data!C356)</f>
        <v/>
      </c>
      <c r="D356" s="4">
        <f>PROPER(TRIM(Raw_Data!D356))</f>
        <v/>
      </c>
      <c r="E356" s="4">
        <f>Raw_Data!E356</f>
        <v/>
      </c>
      <c r="F356" s="6">
        <f>ROUND(Raw_Data!F356,2)</f>
        <v/>
      </c>
      <c r="G356" s="4">
        <f>PROPER(TRIM(Raw_Data!G356))</f>
        <v/>
      </c>
      <c r="H356" s="4">
        <f>PROPER(TRIM(Raw_Data!H356))</f>
        <v/>
      </c>
      <c r="I356" s="4">
        <f>PROPER(TRIM(Raw_Data!I356))</f>
        <v/>
      </c>
      <c r="J356" s="4">
        <f>TRIM(Raw_Data!J356)</f>
        <v/>
      </c>
      <c r="K356" s="4">
        <f>Raw_Data!K356</f>
        <v/>
      </c>
      <c r="L356" s="4">
        <f>IF(TRIM(Raw_Data!L356)="","No Coupon",TRIM(Raw_Data!L356))</f>
        <v/>
      </c>
      <c r="M356" s="4">
        <f>PROPER(TRIM(Raw_Data!M356))</f>
        <v/>
      </c>
      <c r="N356" s="6">
        <f>ROUND(Raw_Data!N356,2)</f>
        <v/>
      </c>
      <c r="O356" s="7">
        <f>IF(COUNTIF($A$2:$A$1201,A356)&gt;1,"DUPLICATE","Unique")</f>
        <v/>
      </c>
      <c r="P356" s="7">
        <f>IF(COUNTIF($J$2:$J$1201,J356)&gt;1,"DUPLICATE","Unique")</f>
        <v/>
      </c>
      <c r="Q356" s="4">
        <f>IF(TRIM(Raw_Data!L356)="","Yes","No")</f>
        <v/>
      </c>
      <c r="R356" s="4">
        <f>IF(ISNUMBER(B356),"Valid","INVALID")</f>
        <v/>
      </c>
    </row>
    <row r="357">
      <c r="A357" s="4">
        <f>TRIM(Raw_Data!A357)</f>
        <v/>
      </c>
      <c r="B357" s="5">
        <f>Raw_Data!B357</f>
        <v/>
      </c>
      <c r="C357" s="4">
        <f>TRIM(Raw_Data!C357)</f>
        <v/>
      </c>
      <c r="D357" s="4">
        <f>PROPER(TRIM(Raw_Data!D357))</f>
        <v/>
      </c>
      <c r="E357" s="4">
        <f>Raw_Data!E357</f>
        <v/>
      </c>
      <c r="F357" s="6">
        <f>ROUND(Raw_Data!F357,2)</f>
        <v/>
      </c>
      <c r="G357" s="4">
        <f>PROPER(TRIM(Raw_Data!G357))</f>
        <v/>
      </c>
      <c r="H357" s="4">
        <f>PROPER(TRIM(Raw_Data!H357))</f>
        <v/>
      </c>
      <c r="I357" s="4">
        <f>PROPER(TRIM(Raw_Data!I357))</f>
        <v/>
      </c>
      <c r="J357" s="4">
        <f>TRIM(Raw_Data!J357)</f>
        <v/>
      </c>
      <c r="K357" s="4">
        <f>Raw_Data!K357</f>
        <v/>
      </c>
      <c r="L357" s="4">
        <f>IF(TRIM(Raw_Data!L357)="","No Coupon",TRIM(Raw_Data!L357))</f>
        <v/>
      </c>
      <c r="M357" s="4">
        <f>PROPER(TRIM(Raw_Data!M357))</f>
        <v/>
      </c>
      <c r="N357" s="6">
        <f>ROUND(Raw_Data!N357,2)</f>
        <v/>
      </c>
      <c r="O357" s="7">
        <f>IF(COUNTIF($A$2:$A$1201,A357)&gt;1,"DUPLICATE","Unique")</f>
        <v/>
      </c>
      <c r="P357" s="7">
        <f>IF(COUNTIF($J$2:$J$1201,J357)&gt;1,"DUPLICATE","Unique")</f>
        <v/>
      </c>
      <c r="Q357" s="4">
        <f>IF(TRIM(Raw_Data!L357)="","Yes","No")</f>
        <v/>
      </c>
      <c r="R357" s="4">
        <f>IF(ISNUMBER(B357),"Valid","INVALID")</f>
        <v/>
      </c>
    </row>
    <row r="358">
      <c r="A358" s="4">
        <f>TRIM(Raw_Data!A358)</f>
        <v/>
      </c>
      <c r="B358" s="5">
        <f>Raw_Data!B358</f>
        <v/>
      </c>
      <c r="C358" s="4">
        <f>TRIM(Raw_Data!C358)</f>
        <v/>
      </c>
      <c r="D358" s="4">
        <f>PROPER(TRIM(Raw_Data!D358))</f>
        <v/>
      </c>
      <c r="E358" s="4">
        <f>Raw_Data!E358</f>
        <v/>
      </c>
      <c r="F358" s="6">
        <f>ROUND(Raw_Data!F358,2)</f>
        <v/>
      </c>
      <c r="G358" s="4">
        <f>PROPER(TRIM(Raw_Data!G358))</f>
        <v/>
      </c>
      <c r="H358" s="4">
        <f>PROPER(TRIM(Raw_Data!H358))</f>
        <v/>
      </c>
      <c r="I358" s="4">
        <f>PROPER(TRIM(Raw_Data!I358))</f>
        <v/>
      </c>
      <c r="J358" s="4">
        <f>TRIM(Raw_Data!J358)</f>
        <v/>
      </c>
      <c r="K358" s="4">
        <f>Raw_Data!K358</f>
        <v/>
      </c>
      <c r="L358" s="4">
        <f>IF(TRIM(Raw_Data!L358)="","No Coupon",TRIM(Raw_Data!L358))</f>
        <v/>
      </c>
      <c r="M358" s="4">
        <f>PROPER(TRIM(Raw_Data!M358))</f>
        <v/>
      </c>
      <c r="N358" s="6">
        <f>ROUND(Raw_Data!N358,2)</f>
        <v/>
      </c>
      <c r="O358" s="7">
        <f>IF(COUNTIF($A$2:$A$1201,A358)&gt;1,"DUPLICATE","Unique")</f>
        <v/>
      </c>
      <c r="P358" s="7">
        <f>IF(COUNTIF($J$2:$J$1201,J358)&gt;1,"DUPLICATE","Unique")</f>
        <v/>
      </c>
      <c r="Q358" s="4">
        <f>IF(TRIM(Raw_Data!L358)="","Yes","No")</f>
        <v/>
      </c>
      <c r="R358" s="4">
        <f>IF(ISNUMBER(B358),"Valid","INVALID")</f>
        <v/>
      </c>
    </row>
    <row r="359">
      <c r="A359" s="4">
        <f>TRIM(Raw_Data!A359)</f>
        <v/>
      </c>
      <c r="B359" s="5">
        <f>Raw_Data!B359</f>
        <v/>
      </c>
      <c r="C359" s="4">
        <f>TRIM(Raw_Data!C359)</f>
        <v/>
      </c>
      <c r="D359" s="4">
        <f>PROPER(TRIM(Raw_Data!D359))</f>
        <v/>
      </c>
      <c r="E359" s="4">
        <f>Raw_Data!E359</f>
        <v/>
      </c>
      <c r="F359" s="6">
        <f>ROUND(Raw_Data!F359,2)</f>
        <v/>
      </c>
      <c r="G359" s="4">
        <f>PROPER(TRIM(Raw_Data!G359))</f>
        <v/>
      </c>
      <c r="H359" s="4">
        <f>PROPER(TRIM(Raw_Data!H359))</f>
        <v/>
      </c>
      <c r="I359" s="4">
        <f>PROPER(TRIM(Raw_Data!I359))</f>
        <v/>
      </c>
      <c r="J359" s="4">
        <f>TRIM(Raw_Data!J359)</f>
        <v/>
      </c>
      <c r="K359" s="4">
        <f>Raw_Data!K359</f>
        <v/>
      </c>
      <c r="L359" s="4">
        <f>IF(TRIM(Raw_Data!L359)="","No Coupon",TRIM(Raw_Data!L359))</f>
        <v/>
      </c>
      <c r="M359" s="4">
        <f>PROPER(TRIM(Raw_Data!M359))</f>
        <v/>
      </c>
      <c r="N359" s="6">
        <f>ROUND(Raw_Data!N359,2)</f>
        <v/>
      </c>
      <c r="O359" s="7">
        <f>IF(COUNTIF($A$2:$A$1201,A359)&gt;1,"DUPLICATE","Unique")</f>
        <v/>
      </c>
      <c r="P359" s="7">
        <f>IF(COUNTIF($J$2:$J$1201,J359)&gt;1,"DUPLICATE","Unique")</f>
        <v/>
      </c>
      <c r="Q359" s="4">
        <f>IF(TRIM(Raw_Data!L359)="","Yes","No")</f>
        <v/>
      </c>
      <c r="R359" s="4">
        <f>IF(ISNUMBER(B359),"Valid","INVALID")</f>
        <v/>
      </c>
    </row>
    <row r="360">
      <c r="A360" s="4">
        <f>TRIM(Raw_Data!A360)</f>
        <v/>
      </c>
      <c r="B360" s="5">
        <f>Raw_Data!B360</f>
        <v/>
      </c>
      <c r="C360" s="4">
        <f>TRIM(Raw_Data!C360)</f>
        <v/>
      </c>
      <c r="D360" s="4">
        <f>PROPER(TRIM(Raw_Data!D360))</f>
        <v/>
      </c>
      <c r="E360" s="4">
        <f>Raw_Data!E360</f>
        <v/>
      </c>
      <c r="F360" s="6">
        <f>ROUND(Raw_Data!F360,2)</f>
        <v/>
      </c>
      <c r="G360" s="4">
        <f>PROPER(TRIM(Raw_Data!G360))</f>
        <v/>
      </c>
      <c r="H360" s="4">
        <f>PROPER(TRIM(Raw_Data!H360))</f>
        <v/>
      </c>
      <c r="I360" s="4">
        <f>PROPER(TRIM(Raw_Data!I360))</f>
        <v/>
      </c>
      <c r="J360" s="4">
        <f>TRIM(Raw_Data!J360)</f>
        <v/>
      </c>
      <c r="K360" s="4">
        <f>Raw_Data!K360</f>
        <v/>
      </c>
      <c r="L360" s="4">
        <f>IF(TRIM(Raw_Data!L360)="","No Coupon",TRIM(Raw_Data!L360))</f>
        <v/>
      </c>
      <c r="M360" s="4">
        <f>PROPER(TRIM(Raw_Data!M360))</f>
        <v/>
      </c>
      <c r="N360" s="6">
        <f>ROUND(Raw_Data!N360,2)</f>
        <v/>
      </c>
      <c r="O360" s="7">
        <f>IF(COUNTIF($A$2:$A$1201,A360)&gt;1,"DUPLICATE","Unique")</f>
        <v/>
      </c>
      <c r="P360" s="7">
        <f>IF(COUNTIF($J$2:$J$1201,J360)&gt;1,"DUPLICATE","Unique")</f>
        <v/>
      </c>
      <c r="Q360" s="4">
        <f>IF(TRIM(Raw_Data!L360)="","Yes","No")</f>
        <v/>
      </c>
      <c r="R360" s="4">
        <f>IF(ISNUMBER(B360),"Valid","INVALID")</f>
        <v/>
      </c>
    </row>
    <row r="361">
      <c r="A361" s="4">
        <f>TRIM(Raw_Data!A361)</f>
        <v/>
      </c>
      <c r="B361" s="5">
        <f>Raw_Data!B361</f>
        <v/>
      </c>
      <c r="C361" s="4">
        <f>TRIM(Raw_Data!C361)</f>
        <v/>
      </c>
      <c r="D361" s="4">
        <f>PROPER(TRIM(Raw_Data!D361))</f>
        <v/>
      </c>
      <c r="E361" s="4">
        <f>Raw_Data!E361</f>
        <v/>
      </c>
      <c r="F361" s="6">
        <f>ROUND(Raw_Data!F361,2)</f>
        <v/>
      </c>
      <c r="G361" s="4">
        <f>PROPER(TRIM(Raw_Data!G361))</f>
        <v/>
      </c>
      <c r="H361" s="4">
        <f>PROPER(TRIM(Raw_Data!H361))</f>
        <v/>
      </c>
      <c r="I361" s="4">
        <f>PROPER(TRIM(Raw_Data!I361))</f>
        <v/>
      </c>
      <c r="J361" s="4">
        <f>TRIM(Raw_Data!J361)</f>
        <v/>
      </c>
      <c r="K361" s="4">
        <f>Raw_Data!K361</f>
        <v/>
      </c>
      <c r="L361" s="4">
        <f>IF(TRIM(Raw_Data!L361)="","No Coupon",TRIM(Raw_Data!L361))</f>
        <v/>
      </c>
      <c r="M361" s="4">
        <f>PROPER(TRIM(Raw_Data!M361))</f>
        <v/>
      </c>
      <c r="N361" s="6">
        <f>ROUND(Raw_Data!N361,2)</f>
        <v/>
      </c>
      <c r="O361" s="7">
        <f>IF(COUNTIF($A$2:$A$1201,A361)&gt;1,"DUPLICATE","Unique")</f>
        <v/>
      </c>
      <c r="P361" s="7">
        <f>IF(COUNTIF($J$2:$J$1201,J361)&gt;1,"DUPLICATE","Unique")</f>
        <v/>
      </c>
      <c r="Q361" s="4">
        <f>IF(TRIM(Raw_Data!L361)="","Yes","No")</f>
        <v/>
      </c>
      <c r="R361" s="4">
        <f>IF(ISNUMBER(B361),"Valid","INVALID")</f>
        <v/>
      </c>
    </row>
    <row r="362">
      <c r="A362" s="4">
        <f>TRIM(Raw_Data!A362)</f>
        <v/>
      </c>
      <c r="B362" s="5">
        <f>Raw_Data!B362</f>
        <v/>
      </c>
      <c r="C362" s="4">
        <f>TRIM(Raw_Data!C362)</f>
        <v/>
      </c>
      <c r="D362" s="4">
        <f>PROPER(TRIM(Raw_Data!D362))</f>
        <v/>
      </c>
      <c r="E362" s="4">
        <f>Raw_Data!E362</f>
        <v/>
      </c>
      <c r="F362" s="6">
        <f>ROUND(Raw_Data!F362,2)</f>
        <v/>
      </c>
      <c r="G362" s="4">
        <f>PROPER(TRIM(Raw_Data!G362))</f>
        <v/>
      </c>
      <c r="H362" s="4">
        <f>PROPER(TRIM(Raw_Data!H362))</f>
        <v/>
      </c>
      <c r="I362" s="4">
        <f>PROPER(TRIM(Raw_Data!I362))</f>
        <v/>
      </c>
      <c r="J362" s="4">
        <f>TRIM(Raw_Data!J362)</f>
        <v/>
      </c>
      <c r="K362" s="4">
        <f>Raw_Data!K362</f>
        <v/>
      </c>
      <c r="L362" s="4">
        <f>IF(TRIM(Raw_Data!L362)="","No Coupon",TRIM(Raw_Data!L362))</f>
        <v/>
      </c>
      <c r="M362" s="4">
        <f>PROPER(TRIM(Raw_Data!M362))</f>
        <v/>
      </c>
      <c r="N362" s="6">
        <f>ROUND(Raw_Data!N362,2)</f>
        <v/>
      </c>
      <c r="O362" s="7">
        <f>IF(COUNTIF($A$2:$A$1201,A362)&gt;1,"DUPLICATE","Unique")</f>
        <v/>
      </c>
      <c r="P362" s="7">
        <f>IF(COUNTIF($J$2:$J$1201,J362)&gt;1,"DUPLICATE","Unique")</f>
        <v/>
      </c>
      <c r="Q362" s="4">
        <f>IF(TRIM(Raw_Data!L362)="","Yes","No")</f>
        <v/>
      </c>
      <c r="R362" s="4">
        <f>IF(ISNUMBER(B362),"Valid","INVALID")</f>
        <v/>
      </c>
    </row>
    <row r="363">
      <c r="A363" s="4">
        <f>TRIM(Raw_Data!A363)</f>
        <v/>
      </c>
      <c r="B363" s="5">
        <f>Raw_Data!B363</f>
        <v/>
      </c>
      <c r="C363" s="4">
        <f>TRIM(Raw_Data!C363)</f>
        <v/>
      </c>
      <c r="D363" s="4">
        <f>PROPER(TRIM(Raw_Data!D363))</f>
        <v/>
      </c>
      <c r="E363" s="4">
        <f>Raw_Data!E363</f>
        <v/>
      </c>
      <c r="F363" s="6">
        <f>ROUND(Raw_Data!F363,2)</f>
        <v/>
      </c>
      <c r="G363" s="4">
        <f>PROPER(TRIM(Raw_Data!G363))</f>
        <v/>
      </c>
      <c r="H363" s="4">
        <f>PROPER(TRIM(Raw_Data!H363))</f>
        <v/>
      </c>
      <c r="I363" s="4">
        <f>PROPER(TRIM(Raw_Data!I363))</f>
        <v/>
      </c>
      <c r="J363" s="4">
        <f>TRIM(Raw_Data!J363)</f>
        <v/>
      </c>
      <c r="K363" s="4">
        <f>Raw_Data!K363</f>
        <v/>
      </c>
      <c r="L363" s="4">
        <f>IF(TRIM(Raw_Data!L363)="","No Coupon",TRIM(Raw_Data!L363))</f>
        <v/>
      </c>
      <c r="M363" s="4">
        <f>PROPER(TRIM(Raw_Data!M363))</f>
        <v/>
      </c>
      <c r="N363" s="6">
        <f>ROUND(Raw_Data!N363,2)</f>
        <v/>
      </c>
      <c r="O363" s="7">
        <f>IF(COUNTIF($A$2:$A$1201,A363)&gt;1,"DUPLICATE","Unique")</f>
        <v/>
      </c>
      <c r="P363" s="7">
        <f>IF(COUNTIF($J$2:$J$1201,J363)&gt;1,"DUPLICATE","Unique")</f>
        <v/>
      </c>
      <c r="Q363" s="4">
        <f>IF(TRIM(Raw_Data!L363)="","Yes","No")</f>
        <v/>
      </c>
      <c r="R363" s="4">
        <f>IF(ISNUMBER(B363),"Valid","INVALID")</f>
        <v/>
      </c>
    </row>
    <row r="364">
      <c r="A364" s="4">
        <f>TRIM(Raw_Data!A364)</f>
        <v/>
      </c>
      <c r="B364" s="5">
        <f>Raw_Data!B364</f>
        <v/>
      </c>
      <c r="C364" s="4">
        <f>TRIM(Raw_Data!C364)</f>
        <v/>
      </c>
      <c r="D364" s="4">
        <f>PROPER(TRIM(Raw_Data!D364))</f>
        <v/>
      </c>
      <c r="E364" s="4">
        <f>Raw_Data!E364</f>
        <v/>
      </c>
      <c r="F364" s="6">
        <f>ROUND(Raw_Data!F364,2)</f>
        <v/>
      </c>
      <c r="G364" s="4">
        <f>PROPER(TRIM(Raw_Data!G364))</f>
        <v/>
      </c>
      <c r="H364" s="4">
        <f>PROPER(TRIM(Raw_Data!H364))</f>
        <v/>
      </c>
      <c r="I364" s="4">
        <f>PROPER(TRIM(Raw_Data!I364))</f>
        <v/>
      </c>
      <c r="J364" s="4">
        <f>TRIM(Raw_Data!J364)</f>
        <v/>
      </c>
      <c r="K364" s="4">
        <f>Raw_Data!K364</f>
        <v/>
      </c>
      <c r="L364" s="4">
        <f>IF(TRIM(Raw_Data!L364)="","No Coupon",TRIM(Raw_Data!L364))</f>
        <v/>
      </c>
      <c r="M364" s="4">
        <f>PROPER(TRIM(Raw_Data!M364))</f>
        <v/>
      </c>
      <c r="N364" s="6">
        <f>ROUND(Raw_Data!N364,2)</f>
        <v/>
      </c>
      <c r="O364" s="7">
        <f>IF(COUNTIF($A$2:$A$1201,A364)&gt;1,"DUPLICATE","Unique")</f>
        <v/>
      </c>
      <c r="P364" s="7">
        <f>IF(COUNTIF($J$2:$J$1201,J364)&gt;1,"DUPLICATE","Unique")</f>
        <v/>
      </c>
      <c r="Q364" s="4">
        <f>IF(TRIM(Raw_Data!L364)="","Yes","No")</f>
        <v/>
      </c>
      <c r="R364" s="4">
        <f>IF(ISNUMBER(B364),"Valid","INVALID")</f>
        <v/>
      </c>
    </row>
    <row r="365">
      <c r="A365" s="4">
        <f>TRIM(Raw_Data!A365)</f>
        <v/>
      </c>
      <c r="B365" s="5">
        <f>Raw_Data!B365</f>
        <v/>
      </c>
      <c r="C365" s="4">
        <f>TRIM(Raw_Data!C365)</f>
        <v/>
      </c>
      <c r="D365" s="4">
        <f>PROPER(TRIM(Raw_Data!D365))</f>
        <v/>
      </c>
      <c r="E365" s="4">
        <f>Raw_Data!E365</f>
        <v/>
      </c>
      <c r="F365" s="6">
        <f>ROUND(Raw_Data!F365,2)</f>
        <v/>
      </c>
      <c r="G365" s="4">
        <f>PROPER(TRIM(Raw_Data!G365))</f>
        <v/>
      </c>
      <c r="H365" s="4">
        <f>PROPER(TRIM(Raw_Data!H365))</f>
        <v/>
      </c>
      <c r="I365" s="4">
        <f>PROPER(TRIM(Raw_Data!I365))</f>
        <v/>
      </c>
      <c r="J365" s="4">
        <f>TRIM(Raw_Data!J365)</f>
        <v/>
      </c>
      <c r="K365" s="4">
        <f>Raw_Data!K365</f>
        <v/>
      </c>
      <c r="L365" s="4">
        <f>IF(TRIM(Raw_Data!L365)="","No Coupon",TRIM(Raw_Data!L365))</f>
        <v/>
      </c>
      <c r="M365" s="4">
        <f>PROPER(TRIM(Raw_Data!M365))</f>
        <v/>
      </c>
      <c r="N365" s="6">
        <f>ROUND(Raw_Data!N365,2)</f>
        <v/>
      </c>
      <c r="O365" s="7">
        <f>IF(COUNTIF($A$2:$A$1201,A365)&gt;1,"DUPLICATE","Unique")</f>
        <v/>
      </c>
      <c r="P365" s="7">
        <f>IF(COUNTIF($J$2:$J$1201,J365)&gt;1,"DUPLICATE","Unique")</f>
        <v/>
      </c>
      <c r="Q365" s="4">
        <f>IF(TRIM(Raw_Data!L365)="","Yes","No")</f>
        <v/>
      </c>
      <c r="R365" s="4">
        <f>IF(ISNUMBER(B365),"Valid","INVALID")</f>
        <v/>
      </c>
    </row>
    <row r="366">
      <c r="A366" s="4">
        <f>TRIM(Raw_Data!A366)</f>
        <v/>
      </c>
      <c r="B366" s="5">
        <f>Raw_Data!B366</f>
        <v/>
      </c>
      <c r="C366" s="4">
        <f>TRIM(Raw_Data!C366)</f>
        <v/>
      </c>
      <c r="D366" s="4">
        <f>PROPER(TRIM(Raw_Data!D366))</f>
        <v/>
      </c>
      <c r="E366" s="4">
        <f>Raw_Data!E366</f>
        <v/>
      </c>
      <c r="F366" s="6">
        <f>ROUND(Raw_Data!F366,2)</f>
        <v/>
      </c>
      <c r="G366" s="4">
        <f>PROPER(TRIM(Raw_Data!G366))</f>
        <v/>
      </c>
      <c r="H366" s="4">
        <f>PROPER(TRIM(Raw_Data!H366))</f>
        <v/>
      </c>
      <c r="I366" s="4">
        <f>PROPER(TRIM(Raw_Data!I366))</f>
        <v/>
      </c>
      <c r="J366" s="4">
        <f>TRIM(Raw_Data!J366)</f>
        <v/>
      </c>
      <c r="K366" s="4">
        <f>Raw_Data!K366</f>
        <v/>
      </c>
      <c r="L366" s="4">
        <f>IF(TRIM(Raw_Data!L366)="","No Coupon",TRIM(Raw_Data!L366))</f>
        <v/>
      </c>
      <c r="M366" s="4">
        <f>PROPER(TRIM(Raw_Data!M366))</f>
        <v/>
      </c>
      <c r="N366" s="6">
        <f>ROUND(Raw_Data!N366,2)</f>
        <v/>
      </c>
      <c r="O366" s="7">
        <f>IF(COUNTIF($A$2:$A$1201,A366)&gt;1,"DUPLICATE","Unique")</f>
        <v/>
      </c>
      <c r="P366" s="7">
        <f>IF(COUNTIF($J$2:$J$1201,J366)&gt;1,"DUPLICATE","Unique")</f>
        <v/>
      </c>
      <c r="Q366" s="4">
        <f>IF(TRIM(Raw_Data!L366)="","Yes","No")</f>
        <v/>
      </c>
      <c r="R366" s="4">
        <f>IF(ISNUMBER(B366),"Valid","INVALID")</f>
        <v/>
      </c>
    </row>
    <row r="367">
      <c r="A367" s="4">
        <f>TRIM(Raw_Data!A367)</f>
        <v/>
      </c>
      <c r="B367" s="5">
        <f>Raw_Data!B367</f>
        <v/>
      </c>
      <c r="C367" s="4">
        <f>TRIM(Raw_Data!C367)</f>
        <v/>
      </c>
      <c r="D367" s="4">
        <f>PROPER(TRIM(Raw_Data!D367))</f>
        <v/>
      </c>
      <c r="E367" s="4">
        <f>Raw_Data!E367</f>
        <v/>
      </c>
      <c r="F367" s="6">
        <f>ROUND(Raw_Data!F367,2)</f>
        <v/>
      </c>
      <c r="G367" s="4">
        <f>PROPER(TRIM(Raw_Data!G367))</f>
        <v/>
      </c>
      <c r="H367" s="4">
        <f>PROPER(TRIM(Raw_Data!H367))</f>
        <v/>
      </c>
      <c r="I367" s="4">
        <f>PROPER(TRIM(Raw_Data!I367))</f>
        <v/>
      </c>
      <c r="J367" s="4">
        <f>TRIM(Raw_Data!J367)</f>
        <v/>
      </c>
      <c r="K367" s="4">
        <f>Raw_Data!K367</f>
        <v/>
      </c>
      <c r="L367" s="4">
        <f>IF(TRIM(Raw_Data!L367)="","No Coupon",TRIM(Raw_Data!L367))</f>
        <v/>
      </c>
      <c r="M367" s="4">
        <f>PROPER(TRIM(Raw_Data!M367))</f>
        <v/>
      </c>
      <c r="N367" s="6">
        <f>ROUND(Raw_Data!N367,2)</f>
        <v/>
      </c>
      <c r="O367" s="7">
        <f>IF(COUNTIF($A$2:$A$1201,A367)&gt;1,"DUPLICATE","Unique")</f>
        <v/>
      </c>
      <c r="P367" s="7">
        <f>IF(COUNTIF($J$2:$J$1201,J367)&gt;1,"DUPLICATE","Unique")</f>
        <v/>
      </c>
      <c r="Q367" s="4">
        <f>IF(TRIM(Raw_Data!L367)="","Yes","No")</f>
        <v/>
      </c>
      <c r="R367" s="4">
        <f>IF(ISNUMBER(B367),"Valid","INVALID")</f>
        <v/>
      </c>
    </row>
    <row r="368">
      <c r="A368" s="4">
        <f>TRIM(Raw_Data!A368)</f>
        <v/>
      </c>
      <c r="B368" s="5">
        <f>Raw_Data!B368</f>
        <v/>
      </c>
      <c r="C368" s="4">
        <f>TRIM(Raw_Data!C368)</f>
        <v/>
      </c>
      <c r="D368" s="4">
        <f>PROPER(TRIM(Raw_Data!D368))</f>
        <v/>
      </c>
      <c r="E368" s="4">
        <f>Raw_Data!E368</f>
        <v/>
      </c>
      <c r="F368" s="6">
        <f>ROUND(Raw_Data!F368,2)</f>
        <v/>
      </c>
      <c r="G368" s="4">
        <f>PROPER(TRIM(Raw_Data!G368))</f>
        <v/>
      </c>
      <c r="H368" s="4">
        <f>PROPER(TRIM(Raw_Data!H368))</f>
        <v/>
      </c>
      <c r="I368" s="4">
        <f>PROPER(TRIM(Raw_Data!I368))</f>
        <v/>
      </c>
      <c r="J368" s="4">
        <f>TRIM(Raw_Data!J368)</f>
        <v/>
      </c>
      <c r="K368" s="4">
        <f>Raw_Data!K368</f>
        <v/>
      </c>
      <c r="L368" s="4">
        <f>IF(TRIM(Raw_Data!L368)="","No Coupon",TRIM(Raw_Data!L368))</f>
        <v/>
      </c>
      <c r="M368" s="4">
        <f>PROPER(TRIM(Raw_Data!M368))</f>
        <v/>
      </c>
      <c r="N368" s="6">
        <f>ROUND(Raw_Data!N368,2)</f>
        <v/>
      </c>
      <c r="O368" s="7">
        <f>IF(COUNTIF($A$2:$A$1201,A368)&gt;1,"DUPLICATE","Unique")</f>
        <v/>
      </c>
      <c r="P368" s="7">
        <f>IF(COUNTIF($J$2:$J$1201,J368)&gt;1,"DUPLICATE","Unique")</f>
        <v/>
      </c>
      <c r="Q368" s="4">
        <f>IF(TRIM(Raw_Data!L368)="","Yes","No")</f>
        <v/>
      </c>
      <c r="R368" s="4">
        <f>IF(ISNUMBER(B368),"Valid","INVALID")</f>
        <v/>
      </c>
    </row>
    <row r="369">
      <c r="A369" s="4">
        <f>TRIM(Raw_Data!A369)</f>
        <v/>
      </c>
      <c r="B369" s="5">
        <f>Raw_Data!B369</f>
        <v/>
      </c>
      <c r="C369" s="4">
        <f>TRIM(Raw_Data!C369)</f>
        <v/>
      </c>
      <c r="D369" s="4">
        <f>PROPER(TRIM(Raw_Data!D369))</f>
        <v/>
      </c>
      <c r="E369" s="4">
        <f>Raw_Data!E369</f>
        <v/>
      </c>
      <c r="F369" s="6">
        <f>ROUND(Raw_Data!F369,2)</f>
        <v/>
      </c>
      <c r="G369" s="4">
        <f>PROPER(TRIM(Raw_Data!G369))</f>
        <v/>
      </c>
      <c r="H369" s="4">
        <f>PROPER(TRIM(Raw_Data!H369))</f>
        <v/>
      </c>
      <c r="I369" s="4">
        <f>PROPER(TRIM(Raw_Data!I369))</f>
        <v/>
      </c>
      <c r="J369" s="4">
        <f>TRIM(Raw_Data!J369)</f>
        <v/>
      </c>
      <c r="K369" s="4">
        <f>Raw_Data!K369</f>
        <v/>
      </c>
      <c r="L369" s="4">
        <f>IF(TRIM(Raw_Data!L369)="","No Coupon",TRIM(Raw_Data!L369))</f>
        <v/>
      </c>
      <c r="M369" s="4">
        <f>PROPER(TRIM(Raw_Data!M369))</f>
        <v/>
      </c>
      <c r="N369" s="6">
        <f>ROUND(Raw_Data!N369,2)</f>
        <v/>
      </c>
      <c r="O369" s="7">
        <f>IF(COUNTIF($A$2:$A$1201,A369)&gt;1,"DUPLICATE","Unique")</f>
        <v/>
      </c>
      <c r="P369" s="7">
        <f>IF(COUNTIF($J$2:$J$1201,J369)&gt;1,"DUPLICATE","Unique")</f>
        <v/>
      </c>
      <c r="Q369" s="4">
        <f>IF(TRIM(Raw_Data!L369)="","Yes","No")</f>
        <v/>
      </c>
      <c r="R369" s="4">
        <f>IF(ISNUMBER(B369),"Valid","INVALID")</f>
        <v/>
      </c>
    </row>
    <row r="370">
      <c r="A370" s="4">
        <f>TRIM(Raw_Data!A370)</f>
        <v/>
      </c>
      <c r="B370" s="5">
        <f>Raw_Data!B370</f>
        <v/>
      </c>
      <c r="C370" s="4">
        <f>TRIM(Raw_Data!C370)</f>
        <v/>
      </c>
      <c r="D370" s="4">
        <f>PROPER(TRIM(Raw_Data!D370))</f>
        <v/>
      </c>
      <c r="E370" s="4">
        <f>Raw_Data!E370</f>
        <v/>
      </c>
      <c r="F370" s="6">
        <f>ROUND(Raw_Data!F370,2)</f>
        <v/>
      </c>
      <c r="G370" s="4">
        <f>PROPER(TRIM(Raw_Data!G370))</f>
        <v/>
      </c>
      <c r="H370" s="4">
        <f>PROPER(TRIM(Raw_Data!H370))</f>
        <v/>
      </c>
      <c r="I370" s="4">
        <f>PROPER(TRIM(Raw_Data!I370))</f>
        <v/>
      </c>
      <c r="J370" s="4">
        <f>TRIM(Raw_Data!J370)</f>
        <v/>
      </c>
      <c r="K370" s="4">
        <f>Raw_Data!K370</f>
        <v/>
      </c>
      <c r="L370" s="4">
        <f>IF(TRIM(Raw_Data!L370)="","No Coupon",TRIM(Raw_Data!L370))</f>
        <v/>
      </c>
      <c r="M370" s="4">
        <f>PROPER(TRIM(Raw_Data!M370))</f>
        <v/>
      </c>
      <c r="N370" s="6">
        <f>ROUND(Raw_Data!N370,2)</f>
        <v/>
      </c>
      <c r="O370" s="7">
        <f>IF(COUNTIF($A$2:$A$1201,A370)&gt;1,"DUPLICATE","Unique")</f>
        <v/>
      </c>
      <c r="P370" s="7">
        <f>IF(COUNTIF($J$2:$J$1201,J370)&gt;1,"DUPLICATE","Unique")</f>
        <v/>
      </c>
      <c r="Q370" s="4">
        <f>IF(TRIM(Raw_Data!L370)="","Yes","No")</f>
        <v/>
      </c>
      <c r="R370" s="4">
        <f>IF(ISNUMBER(B370),"Valid","INVALID")</f>
        <v/>
      </c>
    </row>
    <row r="371">
      <c r="A371" s="4">
        <f>TRIM(Raw_Data!A371)</f>
        <v/>
      </c>
      <c r="B371" s="5">
        <f>Raw_Data!B371</f>
        <v/>
      </c>
      <c r="C371" s="4">
        <f>TRIM(Raw_Data!C371)</f>
        <v/>
      </c>
      <c r="D371" s="4">
        <f>PROPER(TRIM(Raw_Data!D371))</f>
        <v/>
      </c>
      <c r="E371" s="4">
        <f>Raw_Data!E371</f>
        <v/>
      </c>
      <c r="F371" s="6">
        <f>ROUND(Raw_Data!F371,2)</f>
        <v/>
      </c>
      <c r="G371" s="4">
        <f>PROPER(TRIM(Raw_Data!G371))</f>
        <v/>
      </c>
      <c r="H371" s="4">
        <f>PROPER(TRIM(Raw_Data!H371))</f>
        <v/>
      </c>
      <c r="I371" s="4">
        <f>PROPER(TRIM(Raw_Data!I371))</f>
        <v/>
      </c>
      <c r="J371" s="4">
        <f>TRIM(Raw_Data!J371)</f>
        <v/>
      </c>
      <c r="K371" s="4">
        <f>Raw_Data!K371</f>
        <v/>
      </c>
      <c r="L371" s="4">
        <f>IF(TRIM(Raw_Data!L371)="","No Coupon",TRIM(Raw_Data!L371))</f>
        <v/>
      </c>
      <c r="M371" s="4">
        <f>PROPER(TRIM(Raw_Data!M371))</f>
        <v/>
      </c>
      <c r="N371" s="6">
        <f>ROUND(Raw_Data!N371,2)</f>
        <v/>
      </c>
      <c r="O371" s="7">
        <f>IF(COUNTIF($A$2:$A$1201,A371)&gt;1,"DUPLICATE","Unique")</f>
        <v/>
      </c>
      <c r="P371" s="7">
        <f>IF(COUNTIF($J$2:$J$1201,J371)&gt;1,"DUPLICATE","Unique")</f>
        <v/>
      </c>
      <c r="Q371" s="4">
        <f>IF(TRIM(Raw_Data!L371)="","Yes","No")</f>
        <v/>
      </c>
      <c r="R371" s="4">
        <f>IF(ISNUMBER(B371),"Valid","INVALID")</f>
        <v/>
      </c>
    </row>
    <row r="372">
      <c r="A372" s="4">
        <f>TRIM(Raw_Data!A372)</f>
        <v/>
      </c>
      <c r="B372" s="5">
        <f>Raw_Data!B372</f>
        <v/>
      </c>
      <c r="C372" s="4">
        <f>TRIM(Raw_Data!C372)</f>
        <v/>
      </c>
      <c r="D372" s="4">
        <f>PROPER(TRIM(Raw_Data!D372))</f>
        <v/>
      </c>
      <c r="E372" s="4">
        <f>Raw_Data!E372</f>
        <v/>
      </c>
      <c r="F372" s="6">
        <f>ROUND(Raw_Data!F372,2)</f>
        <v/>
      </c>
      <c r="G372" s="4">
        <f>PROPER(TRIM(Raw_Data!G372))</f>
        <v/>
      </c>
      <c r="H372" s="4">
        <f>PROPER(TRIM(Raw_Data!H372))</f>
        <v/>
      </c>
      <c r="I372" s="4">
        <f>PROPER(TRIM(Raw_Data!I372))</f>
        <v/>
      </c>
      <c r="J372" s="4">
        <f>TRIM(Raw_Data!J372)</f>
        <v/>
      </c>
      <c r="K372" s="4">
        <f>Raw_Data!K372</f>
        <v/>
      </c>
      <c r="L372" s="4">
        <f>IF(TRIM(Raw_Data!L372)="","No Coupon",TRIM(Raw_Data!L372))</f>
        <v/>
      </c>
      <c r="M372" s="4">
        <f>PROPER(TRIM(Raw_Data!M372))</f>
        <v/>
      </c>
      <c r="N372" s="6">
        <f>ROUND(Raw_Data!N372,2)</f>
        <v/>
      </c>
      <c r="O372" s="7">
        <f>IF(COUNTIF($A$2:$A$1201,A372)&gt;1,"DUPLICATE","Unique")</f>
        <v/>
      </c>
      <c r="P372" s="7">
        <f>IF(COUNTIF($J$2:$J$1201,J372)&gt;1,"DUPLICATE","Unique")</f>
        <v/>
      </c>
      <c r="Q372" s="4">
        <f>IF(TRIM(Raw_Data!L372)="","Yes","No")</f>
        <v/>
      </c>
      <c r="R372" s="4">
        <f>IF(ISNUMBER(B372),"Valid","INVALID")</f>
        <v/>
      </c>
    </row>
    <row r="373">
      <c r="A373" s="4">
        <f>TRIM(Raw_Data!A373)</f>
        <v/>
      </c>
      <c r="B373" s="5">
        <f>Raw_Data!B373</f>
        <v/>
      </c>
      <c r="C373" s="4">
        <f>TRIM(Raw_Data!C373)</f>
        <v/>
      </c>
      <c r="D373" s="4">
        <f>PROPER(TRIM(Raw_Data!D373))</f>
        <v/>
      </c>
      <c r="E373" s="4">
        <f>Raw_Data!E373</f>
        <v/>
      </c>
      <c r="F373" s="6">
        <f>ROUND(Raw_Data!F373,2)</f>
        <v/>
      </c>
      <c r="G373" s="4">
        <f>PROPER(TRIM(Raw_Data!G373))</f>
        <v/>
      </c>
      <c r="H373" s="4">
        <f>PROPER(TRIM(Raw_Data!H373))</f>
        <v/>
      </c>
      <c r="I373" s="4">
        <f>PROPER(TRIM(Raw_Data!I373))</f>
        <v/>
      </c>
      <c r="J373" s="4">
        <f>TRIM(Raw_Data!J373)</f>
        <v/>
      </c>
      <c r="K373" s="4">
        <f>Raw_Data!K373</f>
        <v/>
      </c>
      <c r="L373" s="4">
        <f>IF(TRIM(Raw_Data!L373)="","No Coupon",TRIM(Raw_Data!L373))</f>
        <v/>
      </c>
      <c r="M373" s="4">
        <f>PROPER(TRIM(Raw_Data!M373))</f>
        <v/>
      </c>
      <c r="N373" s="6">
        <f>ROUND(Raw_Data!N373,2)</f>
        <v/>
      </c>
      <c r="O373" s="7">
        <f>IF(COUNTIF($A$2:$A$1201,A373)&gt;1,"DUPLICATE","Unique")</f>
        <v/>
      </c>
      <c r="P373" s="7">
        <f>IF(COUNTIF($J$2:$J$1201,J373)&gt;1,"DUPLICATE","Unique")</f>
        <v/>
      </c>
      <c r="Q373" s="4">
        <f>IF(TRIM(Raw_Data!L373)="","Yes","No")</f>
        <v/>
      </c>
      <c r="R373" s="4">
        <f>IF(ISNUMBER(B373),"Valid","INVALID")</f>
        <v/>
      </c>
    </row>
    <row r="374">
      <c r="A374" s="4">
        <f>TRIM(Raw_Data!A374)</f>
        <v/>
      </c>
      <c r="B374" s="5">
        <f>Raw_Data!B374</f>
        <v/>
      </c>
      <c r="C374" s="4">
        <f>TRIM(Raw_Data!C374)</f>
        <v/>
      </c>
      <c r="D374" s="4">
        <f>PROPER(TRIM(Raw_Data!D374))</f>
        <v/>
      </c>
      <c r="E374" s="4">
        <f>Raw_Data!E374</f>
        <v/>
      </c>
      <c r="F374" s="6">
        <f>ROUND(Raw_Data!F374,2)</f>
        <v/>
      </c>
      <c r="G374" s="4">
        <f>PROPER(TRIM(Raw_Data!G374))</f>
        <v/>
      </c>
      <c r="H374" s="4">
        <f>PROPER(TRIM(Raw_Data!H374))</f>
        <v/>
      </c>
      <c r="I374" s="4">
        <f>PROPER(TRIM(Raw_Data!I374))</f>
        <v/>
      </c>
      <c r="J374" s="4">
        <f>TRIM(Raw_Data!J374)</f>
        <v/>
      </c>
      <c r="K374" s="4">
        <f>Raw_Data!K374</f>
        <v/>
      </c>
      <c r="L374" s="4">
        <f>IF(TRIM(Raw_Data!L374)="","No Coupon",TRIM(Raw_Data!L374))</f>
        <v/>
      </c>
      <c r="M374" s="4">
        <f>PROPER(TRIM(Raw_Data!M374))</f>
        <v/>
      </c>
      <c r="N374" s="6">
        <f>ROUND(Raw_Data!N374,2)</f>
        <v/>
      </c>
      <c r="O374" s="7">
        <f>IF(COUNTIF($A$2:$A$1201,A374)&gt;1,"DUPLICATE","Unique")</f>
        <v/>
      </c>
      <c r="P374" s="7">
        <f>IF(COUNTIF($J$2:$J$1201,J374)&gt;1,"DUPLICATE","Unique")</f>
        <v/>
      </c>
      <c r="Q374" s="4">
        <f>IF(TRIM(Raw_Data!L374)="","Yes","No")</f>
        <v/>
      </c>
      <c r="R374" s="4">
        <f>IF(ISNUMBER(B374),"Valid","INVALID")</f>
        <v/>
      </c>
    </row>
    <row r="375">
      <c r="A375" s="4">
        <f>TRIM(Raw_Data!A375)</f>
        <v/>
      </c>
      <c r="B375" s="5">
        <f>Raw_Data!B375</f>
        <v/>
      </c>
      <c r="C375" s="4">
        <f>TRIM(Raw_Data!C375)</f>
        <v/>
      </c>
      <c r="D375" s="4">
        <f>PROPER(TRIM(Raw_Data!D375))</f>
        <v/>
      </c>
      <c r="E375" s="4">
        <f>Raw_Data!E375</f>
        <v/>
      </c>
      <c r="F375" s="6">
        <f>ROUND(Raw_Data!F375,2)</f>
        <v/>
      </c>
      <c r="G375" s="4">
        <f>PROPER(TRIM(Raw_Data!G375))</f>
        <v/>
      </c>
      <c r="H375" s="4">
        <f>PROPER(TRIM(Raw_Data!H375))</f>
        <v/>
      </c>
      <c r="I375" s="4">
        <f>PROPER(TRIM(Raw_Data!I375))</f>
        <v/>
      </c>
      <c r="J375" s="4">
        <f>TRIM(Raw_Data!J375)</f>
        <v/>
      </c>
      <c r="K375" s="4">
        <f>Raw_Data!K375</f>
        <v/>
      </c>
      <c r="L375" s="4">
        <f>IF(TRIM(Raw_Data!L375)="","No Coupon",TRIM(Raw_Data!L375))</f>
        <v/>
      </c>
      <c r="M375" s="4">
        <f>PROPER(TRIM(Raw_Data!M375))</f>
        <v/>
      </c>
      <c r="N375" s="6">
        <f>ROUND(Raw_Data!N375,2)</f>
        <v/>
      </c>
      <c r="O375" s="7">
        <f>IF(COUNTIF($A$2:$A$1201,A375)&gt;1,"DUPLICATE","Unique")</f>
        <v/>
      </c>
      <c r="P375" s="7">
        <f>IF(COUNTIF($J$2:$J$1201,J375)&gt;1,"DUPLICATE","Unique")</f>
        <v/>
      </c>
      <c r="Q375" s="4">
        <f>IF(TRIM(Raw_Data!L375)="","Yes","No")</f>
        <v/>
      </c>
      <c r="R375" s="4">
        <f>IF(ISNUMBER(B375),"Valid","INVALID")</f>
        <v/>
      </c>
    </row>
    <row r="376">
      <c r="A376" s="4">
        <f>TRIM(Raw_Data!A376)</f>
        <v/>
      </c>
      <c r="B376" s="5">
        <f>Raw_Data!B376</f>
        <v/>
      </c>
      <c r="C376" s="4">
        <f>TRIM(Raw_Data!C376)</f>
        <v/>
      </c>
      <c r="D376" s="4">
        <f>PROPER(TRIM(Raw_Data!D376))</f>
        <v/>
      </c>
      <c r="E376" s="4">
        <f>Raw_Data!E376</f>
        <v/>
      </c>
      <c r="F376" s="6">
        <f>ROUND(Raw_Data!F376,2)</f>
        <v/>
      </c>
      <c r="G376" s="4">
        <f>PROPER(TRIM(Raw_Data!G376))</f>
        <v/>
      </c>
      <c r="H376" s="4">
        <f>PROPER(TRIM(Raw_Data!H376))</f>
        <v/>
      </c>
      <c r="I376" s="4">
        <f>PROPER(TRIM(Raw_Data!I376))</f>
        <v/>
      </c>
      <c r="J376" s="4">
        <f>TRIM(Raw_Data!J376)</f>
        <v/>
      </c>
      <c r="K376" s="4">
        <f>Raw_Data!K376</f>
        <v/>
      </c>
      <c r="L376" s="4">
        <f>IF(TRIM(Raw_Data!L376)="","No Coupon",TRIM(Raw_Data!L376))</f>
        <v/>
      </c>
      <c r="M376" s="4">
        <f>PROPER(TRIM(Raw_Data!M376))</f>
        <v/>
      </c>
      <c r="N376" s="6">
        <f>ROUND(Raw_Data!N376,2)</f>
        <v/>
      </c>
      <c r="O376" s="7">
        <f>IF(COUNTIF($A$2:$A$1201,A376)&gt;1,"DUPLICATE","Unique")</f>
        <v/>
      </c>
      <c r="P376" s="7">
        <f>IF(COUNTIF($J$2:$J$1201,J376)&gt;1,"DUPLICATE","Unique")</f>
        <v/>
      </c>
      <c r="Q376" s="4">
        <f>IF(TRIM(Raw_Data!L376)="","Yes","No")</f>
        <v/>
      </c>
      <c r="R376" s="4">
        <f>IF(ISNUMBER(B376),"Valid","INVALID")</f>
        <v/>
      </c>
    </row>
    <row r="377">
      <c r="A377" s="4">
        <f>TRIM(Raw_Data!A377)</f>
        <v/>
      </c>
      <c r="B377" s="5">
        <f>Raw_Data!B377</f>
        <v/>
      </c>
      <c r="C377" s="4">
        <f>TRIM(Raw_Data!C377)</f>
        <v/>
      </c>
      <c r="D377" s="4">
        <f>PROPER(TRIM(Raw_Data!D377))</f>
        <v/>
      </c>
      <c r="E377" s="4">
        <f>Raw_Data!E377</f>
        <v/>
      </c>
      <c r="F377" s="6">
        <f>ROUND(Raw_Data!F377,2)</f>
        <v/>
      </c>
      <c r="G377" s="4">
        <f>PROPER(TRIM(Raw_Data!G377))</f>
        <v/>
      </c>
      <c r="H377" s="4">
        <f>PROPER(TRIM(Raw_Data!H377))</f>
        <v/>
      </c>
      <c r="I377" s="4">
        <f>PROPER(TRIM(Raw_Data!I377))</f>
        <v/>
      </c>
      <c r="J377" s="4">
        <f>TRIM(Raw_Data!J377)</f>
        <v/>
      </c>
      <c r="K377" s="4">
        <f>Raw_Data!K377</f>
        <v/>
      </c>
      <c r="L377" s="4">
        <f>IF(TRIM(Raw_Data!L377)="","No Coupon",TRIM(Raw_Data!L377))</f>
        <v/>
      </c>
      <c r="M377" s="4">
        <f>PROPER(TRIM(Raw_Data!M377))</f>
        <v/>
      </c>
      <c r="N377" s="6">
        <f>ROUND(Raw_Data!N377,2)</f>
        <v/>
      </c>
      <c r="O377" s="7">
        <f>IF(COUNTIF($A$2:$A$1201,A377)&gt;1,"DUPLICATE","Unique")</f>
        <v/>
      </c>
      <c r="P377" s="7">
        <f>IF(COUNTIF($J$2:$J$1201,J377)&gt;1,"DUPLICATE","Unique")</f>
        <v/>
      </c>
      <c r="Q377" s="4">
        <f>IF(TRIM(Raw_Data!L377)="","Yes","No")</f>
        <v/>
      </c>
      <c r="R377" s="4">
        <f>IF(ISNUMBER(B377),"Valid","INVALID")</f>
        <v/>
      </c>
    </row>
    <row r="378">
      <c r="A378" s="4">
        <f>TRIM(Raw_Data!A378)</f>
        <v/>
      </c>
      <c r="B378" s="5">
        <f>Raw_Data!B378</f>
        <v/>
      </c>
      <c r="C378" s="4">
        <f>TRIM(Raw_Data!C378)</f>
        <v/>
      </c>
      <c r="D378" s="4">
        <f>PROPER(TRIM(Raw_Data!D378))</f>
        <v/>
      </c>
      <c r="E378" s="4">
        <f>Raw_Data!E378</f>
        <v/>
      </c>
      <c r="F378" s="6">
        <f>ROUND(Raw_Data!F378,2)</f>
        <v/>
      </c>
      <c r="G378" s="4">
        <f>PROPER(TRIM(Raw_Data!G378))</f>
        <v/>
      </c>
      <c r="H378" s="4">
        <f>PROPER(TRIM(Raw_Data!H378))</f>
        <v/>
      </c>
      <c r="I378" s="4">
        <f>PROPER(TRIM(Raw_Data!I378))</f>
        <v/>
      </c>
      <c r="J378" s="4">
        <f>TRIM(Raw_Data!J378)</f>
        <v/>
      </c>
      <c r="K378" s="4">
        <f>Raw_Data!K378</f>
        <v/>
      </c>
      <c r="L378" s="4">
        <f>IF(TRIM(Raw_Data!L378)="","No Coupon",TRIM(Raw_Data!L378))</f>
        <v/>
      </c>
      <c r="M378" s="4">
        <f>PROPER(TRIM(Raw_Data!M378))</f>
        <v/>
      </c>
      <c r="N378" s="6">
        <f>ROUND(Raw_Data!N378,2)</f>
        <v/>
      </c>
      <c r="O378" s="7">
        <f>IF(COUNTIF($A$2:$A$1201,A378)&gt;1,"DUPLICATE","Unique")</f>
        <v/>
      </c>
      <c r="P378" s="7">
        <f>IF(COUNTIF($J$2:$J$1201,J378)&gt;1,"DUPLICATE","Unique")</f>
        <v/>
      </c>
      <c r="Q378" s="4">
        <f>IF(TRIM(Raw_Data!L378)="","Yes","No")</f>
        <v/>
      </c>
      <c r="R378" s="4">
        <f>IF(ISNUMBER(B378),"Valid","INVALID")</f>
        <v/>
      </c>
    </row>
    <row r="379">
      <c r="A379" s="4">
        <f>TRIM(Raw_Data!A379)</f>
        <v/>
      </c>
      <c r="B379" s="5">
        <f>Raw_Data!B379</f>
        <v/>
      </c>
      <c r="C379" s="4">
        <f>TRIM(Raw_Data!C379)</f>
        <v/>
      </c>
      <c r="D379" s="4">
        <f>PROPER(TRIM(Raw_Data!D379))</f>
        <v/>
      </c>
      <c r="E379" s="4">
        <f>Raw_Data!E379</f>
        <v/>
      </c>
      <c r="F379" s="6">
        <f>ROUND(Raw_Data!F379,2)</f>
        <v/>
      </c>
      <c r="G379" s="4">
        <f>PROPER(TRIM(Raw_Data!G379))</f>
        <v/>
      </c>
      <c r="H379" s="4">
        <f>PROPER(TRIM(Raw_Data!H379))</f>
        <v/>
      </c>
      <c r="I379" s="4">
        <f>PROPER(TRIM(Raw_Data!I379))</f>
        <v/>
      </c>
      <c r="J379" s="4">
        <f>TRIM(Raw_Data!J379)</f>
        <v/>
      </c>
      <c r="K379" s="4">
        <f>Raw_Data!K379</f>
        <v/>
      </c>
      <c r="L379" s="4">
        <f>IF(TRIM(Raw_Data!L379)="","No Coupon",TRIM(Raw_Data!L379))</f>
        <v/>
      </c>
      <c r="M379" s="4">
        <f>PROPER(TRIM(Raw_Data!M379))</f>
        <v/>
      </c>
      <c r="N379" s="6">
        <f>ROUND(Raw_Data!N379,2)</f>
        <v/>
      </c>
      <c r="O379" s="7">
        <f>IF(COUNTIF($A$2:$A$1201,A379)&gt;1,"DUPLICATE","Unique")</f>
        <v/>
      </c>
      <c r="P379" s="7">
        <f>IF(COUNTIF($J$2:$J$1201,J379)&gt;1,"DUPLICATE","Unique")</f>
        <v/>
      </c>
      <c r="Q379" s="4">
        <f>IF(TRIM(Raw_Data!L379)="","Yes","No")</f>
        <v/>
      </c>
      <c r="R379" s="4">
        <f>IF(ISNUMBER(B379),"Valid","INVALID")</f>
        <v/>
      </c>
    </row>
    <row r="380">
      <c r="A380" s="4">
        <f>TRIM(Raw_Data!A380)</f>
        <v/>
      </c>
      <c r="B380" s="5">
        <f>Raw_Data!B380</f>
        <v/>
      </c>
      <c r="C380" s="4">
        <f>TRIM(Raw_Data!C380)</f>
        <v/>
      </c>
      <c r="D380" s="4">
        <f>PROPER(TRIM(Raw_Data!D380))</f>
        <v/>
      </c>
      <c r="E380" s="4">
        <f>Raw_Data!E380</f>
        <v/>
      </c>
      <c r="F380" s="6">
        <f>ROUND(Raw_Data!F380,2)</f>
        <v/>
      </c>
      <c r="G380" s="4">
        <f>PROPER(TRIM(Raw_Data!G380))</f>
        <v/>
      </c>
      <c r="H380" s="4">
        <f>PROPER(TRIM(Raw_Data!H380))</f>
        <v/>
      </c>
      <c r="I380" s="4">
        <f>PROPER(TRIM(Raw_Data!I380))</f>
        <v/>
      </c>
      <c r="J380" s="4">
        <f>TRIM(Raw_Data!J380)</f>
        <v/>
      </c>
      <c r="K380" s="4">
        <f>Raw_Data!K380</f>
        <v/>
      </c>
      <c r="L380" s="4">
        <f>IF(TRIM(Raw_Data!L380)="","No Coupon",TRIM(Raw_Data!L380))</f>
        <v/>
      </c>
      <c r="M380" s="4">
        <f>PROPER(TRIM(Raw_Data!M380))</f>
        <v/>
      </c>
      <c r="N380" s="6">
        <f>ROUND(Raw_Data!N380,2)</f>
        <v/>
      </c>
      <c r="O380" s="7">
        <f>IF(COUNTIF($A$2:$A$1201,A380)&gt;1,"DUPLICATE","Unique")</f>
        <v/>
      </c>
      <c r="P380" s="7">
        <f>IF(COUNTIF($J$2:$J$1201,J380)&gt;1,"DUPLICATE","Unique")</f>
        <v/>
      </c>
      <c r="Q380" s="4">
        <f>IF(TRIM(Raw_Data!L380)="","Yes","No")</f>
        <v/>
      </c>
      <c r="R380" s="4">
        <f>IF(ISNUMBER(B380),"Valid","INVALID")</f>
        <v/>
      </c>
    </row>
    <row r="381">
      <c r="A381" s="4">
        <f>TRIM(Raw_Data!A381)</f>
        <v/>
      </c>
      <c r="B381" s="5">
        <f>Raw_Data!B381</f>
        <v/>
      </c>
      <c r="C381" s="4">
        <f>TRIM(Raw_Data!C381)</f>
        <v/>
      </c>
      <c r="D381" s="4">
        <f>PROPER(TRIM(Raw_Data!D381))</f>
        <v/>
      </c>
      <c r="E381" s="4">
        <f>Raw_Data!E381</f>
        <v/>
      </c>
      <c r="F381" s="6">
        <f>ROUND(Raw_Data!F381,2)</f>
        <v/>
      </c>
      <c r="G381" s="4">
        <f>PROPER(TRIM(Raw_Data!G381))</f>
        <v/>
      </c>
      <c r="H381" s="4">
        <f>PROPER(TRIM(Raw_Data!H381))</f>
        <v/>
      </c>
      <c r="I381" s="4">
        <f>PROPER(TRIM(Raw_Data!I381))</f>
        <v/>
      </c>
      <c r="J381" s="4">
        <f>TRIM(Raw_Data!J381)</f>
        <v/>
      </c>
      <c r="K381" s="4">
        <f>Raw_Data!K381</f>
        <v/>
      </c>
      <c r="L381" s="4">
        <f>IF(TRIM(Raw_Data!L381)="","No Coupon",TRIM(Raw_Data!L381))</f>
        <v/>
      </c>
      <c r="M381" s="4">
        <f>PROPER(TRIM(Raw_Data!M381))</f>
        <v/>
      </c>
      <c r="N381" s="6">
        <f>ROUND(Raw_Data!N381,2)</f>
        <v/>
      </c>
      <c r="O381" s="7">
        <f>IF(COUNTIF($A$2:$A$1201,A381)&gt;1,"DUPLICATE","Unique")</f>
        <v/>
      </c>
      <c r="P381" s="7">
        <f>IF(COUNTIF($J$2:$J$1201,J381)&gt;1,"DUPLICATE","Unique")</f>
        <v/>
      </c>
      <c r="Q381" s="4">
        <f>IF(TRIM(Raw_Data!L381)="","Yes","No")</f>
        <v/>
      </c>
      <c r="R381" s="4">
        <f>IF(ISNUMBER(B381),"Valid","INVALID")</f>
        <v/>
      </c>
    </row>
    <row r="382">
      <c r="A382" s="4">
        <f>TRIM(Raw_Data!A382)</f>
        <v/>
      </c>
      <c r="B382" s="5">
        <f>Raw_Data!B382</f>
        <v/>
      </c>
      <c r="C382" s="4">
        <f>TRIM(Raw_Data!C382)</f>
        <v/>
      </c>
      <c r="D382" s="4">
        <f>PROPER(TRIM(Raw_Data!D382))</f>
        <v/>
      </c>
      <c r="E382" s="4">
        <f>Raw_Data!E382</f>
        <v/>
      </c>
      <c r="F382" s="6">
        <f>ROUND(Raw_Data!F382,2)</f>
        <v/>
      </c>
      <c r="G382" s="4">
        <f>PROPER(TRIM(Raw_Data!G382))</f>
        <v/>
      </c>
      <c r="H382" s="4">
        <f>PROPER(TRIM(Raw_Data!H382))</f>
        <v/>
      </c>
      <c r="I382" s="4">
        <f>PROPER(TRIM(Raw_Data!I382))</f>
        <v/>
      </c>
      <c r="J382" s="4">
        <f>TRIM(Raw_Data!J382)</f>
        <v/>
      </c>
      <c r="K382" s="4">
        <f>Raw_Data!K382</f>
        <v/>
      </c>
      <c r="L382" s="4">
        <f>IF(TRIM(Raw_Data!L382)="","No Coupon",TRIM(Raw_Data!L382))</f>
        <v/>
      </c>
      <c r="M382" s="4">
        <f>PROPER(TRIM(Raw_Data!M382))</f>
        <v/>
      </c>
      <c r="N382" s="6">
        <f>ROUND(Raw_Data!N382,2)</f>
        <v/>
      </c>
      <c r="O382" s="7">
        <f>IF(COUNTIF($A$2:$A$1201,A382)&gt;1,"DUPLICATE","Unique")</f>
        <v/>
      </c>
      <c r="P382" s="7">
        <f>IF(COUNTIF($J$2:$J$1201,J382)&gt;1,"DUPLICATE","Unique")</f>
        <v/>
      </c>
      <c r="Q382" s="4">
        <f>IF(TRIM(Raw_Data!L382)="","Yes","No")</f>
        <v/>
      </c>
      <c r="R382" s="4">
        <f>IF(ISNUMBER(B382),"Valid","INVALID")</f>
        <v/>
      </c>
    </row>
    <row r="383">
      <c r="A383" s="4">
        <f>TRIM(Raw_Data!A383)</f>
        <v/>
      </c>
      <c r="B383" s="5">
        <f>Raw_Data!B383</f>
        <v/>
      </c>
      <c r="C383" s="4">
        <f>TRIM(Raw_Data!C383)</f>
        <v/>
      </c>
      <c r="D383" s="4">
        <f>PROPER(TRIM(Raw_Data!D383))</f>
        <v/>
      </c>
      <c r="E383" s="4">
        <f>Raw_Data!E383</f>
        <v/>
      </c>
      <c r="F383" s="6">
        <f>ROUND(Raw_Data!F383,2)</f>
        <v/>
      </c>
      <c r="G383" s="4">
        <f>PROPER(TRIM(Raw_Data!G383))</f>
        <v/>
      </c>
      <c r="H383" s="4">
        <f>PROPER(TRIM(Raw_Data!H383))</f>
        <v/>
      </c>
      <c r="I383" s="4">
        <f>PROPER(TRIM(Raw_Data!I383))</f>
        <v/>
      </c>
      <c r="J383" s="4">
        <f>TRIM(Raw_Data!J383)</f>
        <v/>
      </c>
      <c r="K383" s="4">
        <f>Raw_Data!K383</f>
        <v/>
      </c>
      <c r="L383" s="4">
        <f>IF(TRIM(Raw_Data!L383)="","No Coupon",TRIM(Raw_Data!L383))</f>
        <v/>
      </c>
      <c r="M383" s="4">
        <f>PROPER(TRIM(Raw_Data!M383))</f>
        <v/>
      </c>
      <c r="N383" s="6">
        <f>ROUND(Raw_Data!N383,2)</f>
        <v/>
      </c>
      <c r="O383" s="7">
        <f>IF(COUNTIF($A$2:$A$1201,A383)&gt;1,"DUPLICATE","Unique")</f>
        <v/>
      </c>
      <c r="P383" s="7">
        <f>IF(COUNTIF($J$2:$J$1201,J383)&gt;1,"DUPLICATE","Unique")</f>
        <v/>
      </c>
      <c r="Q383" s="4">
        <f>IF(TRIM(Raw_Data!L383)="","Yes","No")</f>
        <v/>
      </c>
      <c r="R383" s="4">
        <f>IF(ISNUMBER(B383),"Valid","INVALID")</f>
        <v/>
      </c>
    </row>
    <row r="384">
      <c r="A384" s="4">
        <f>TRIM(Raw_Data!A384)</f>
        <v/>
      </c>
      <c r="B384" s="5">
        <f>Raw_Data!B384</f>
        <v/>
      </c>
      <c r="C384" s="4">
        <f>TRIM(Raw_Data!C384)</f>
        <v/>
      </c>
      <c r="D384" s="4">
        <f>PROPER(TRIM(Raw_Data!D384))</f>
        <v/>
      </c>
      <c r="E384" s="4">
        <f>Raw_Data!E384</f>
        <v/>
      </c>
      <c r="F384" s="6">
        <f>ROUND(Raw_Data!F384,2)</f>
        <v/>
      </c>
      <c r="G384" s="4">
        <f>PROPER(TRIM(Raw_Data!G384))</f>
        <v/>
      </c>
      <c r="H384" s="4">
        <f>PROPER(TRIM(Raw_Data!H384))</f>
        <v/>
      </c>
      <c r="I384" s="4">
        <f>PROPER(TRIM(Raw_Data!I384))</f>
        <v/>
      </c>
      <c r="J384" s="4">
        <f>TRIM(Raw_Data!J384)</f>
        <v/>
      </c>
      <c r="K384" s="4">
        <f>Raw_Data!K384</f>
        <v/>
      </c>
      <c r="L384" s="4">
        <f>IF(TRIM(Raw_Data!L384)="","No Coupon",TRIM(Raw_Data!L384))</f>
        <v/>
      </c>
      <c r="M384" s="4">
        <f>PROPER(TRIM(Raw_Data!M384))</f>
        <v/>
      </c>
      <c r="N384" s="6">
        <f>ROUND(Raw_Data!N384,2)</f>
        <v/>
      </c>
      <c r="O384" s="7">
        <f>IF(COUNTIF($A$2:$A$1201,A384)&gt;1,"DUPLICATE","Unique")</f>
        <v/>
      </c>
      <c r="P384" s="7">
        <f>IF(COUNTIF($J$2:$J$1201,J384)&gt;1,"DUPLICATE","Unique")</f>
        <v/>
      </c>
      <c r="Q384" s="4">
        <f>IF(TRIM(Raw_Data!L384)="","Yes","No")</f>
        <v/>
      </c>
      <c r="R384" s="4">
        <f>IF(ISNUMBER(B384),"Valid","INVALID")</f>
        <v/>
      </c>
    </row>
    <row r="385">
      <c r="A385" s="4">
        <f>TRIM(Raw_Data!A385)</f>
        <v/>
      </c>
      <c r="B385" s="5">
        <f>Raw_Data!B385</f>
        <v/>
      </c>
      <c r="C385" s="4">
        <f>TRIM(Raw_Data!C385)</f>
        <v/>
      </c>
      <c r="D385" s="4">
        <f>PROPER(TRIM(Raw_Data!D385))</f>
        <v/>
      </c>
      <c r="E385" s="4">
        <f>Raw_Data!E385</f>
        <v/>
      </c>
      <c r="F385" s="6">
        <f>ROUND(Raw_Data!F385,2)</f>
        <v/>
      </c>
      <c r="G385" s="4">
        <f>PROPER(TRIM(Raw_Data!G385))</f>
        <v/>
      </c>
      <c r="H385" s="4">
        <f>PROPER(TRIM(Raw_Data!H385))</f>
        <v/>
      </c>
      <c r="I385" s="4">
        <f>PROPER(TRIM(Raw_Data!I385))</f>
        <v/>
      </c>
      <c r="J385" s="4">
        <f>TRIM(Raw_Data!J385)</f>
        <v/>
      </c>
      <c r="K385" s="4">
        <f>Raw_Data!K385</f>
        <v/>
      </c>
      <c r="L385" s="4">
        <f>IF(TRIM(Raw_Data!L385)="","No Coupon",TRIM(Raw_Data!L385))</f>
        <v/>
      </c>
      <c r="M385" s="4">
        <f>PROPER(TRIM(Raw_Data!M385))</f>
        <v/>
      </c>
      <c r="N385" s="6">
        <f>ROUND(Raw_Data!N385,2)</f>
        <v/>
      </c>
      <c r="O385" s="7">
        <f>IF(COUNTIF($A$2:$A$1201,A385)&gt;1,"DUPLICATE","Unique")</f>
        <v/>
      </c>
      <c r="P385" s="7">
        <f>IF(COUNTIF($J$2:$J$1201,J385)&gt;1,"DUPLICATE","Unique")</f>
        <v/>
      </c>
      <c r="Q385" s="4">
        <f>IF(TRIM(Raw_Data!L385)="","Yes","No")</f>
        <v/>
      </c>
      <c r="R385" s="4">
        <f>IF(ISNUMBER(B385),"Valid","INVALID")</f>
        <v/>
      </c>
    </row>
    <row r="386">
      <c r="A386" s="4">
        <f>TRIM(Raw_Data!A386)</f>
        <v/>
      </c>
      <c r="B386" s="5">
        <f>Raw_Data!B386</f>
        <v/>
      </c>
      <c r="C386" s="4">
        <f>TRIM(Raw_Data!C386)</f>
        <v/>
      </c>
      <c r="D386" s="4">
        <f>PROPER(TRIM(Raw_Data!D386))</f>
        <v/>
      </c>
      <c r="E386" s="4">
        <f>Raw_Data!E386</f>
        <v/>
      </c>
      <c r="F386" s="6">
        <f>ROUND(Raw_Data!F386,2)</f>
        <v/>
      </c>
      <c r="G386" s="4">
        <f>PROPER(TRIM(Raw_Data!G386))</f>
        <v/>
      </c>
      <c r="H386" s="4">
        <f>PROPER(TRIM(Raw_Data!H386))</f>
        <v/>
      </c>
      <c r="I386" s="4">
        <f>PROPER(TRIM(Raw_Data!I386))</f>
        <v/>
      </c>
      <c r="J386" s="4">
        <f>TRIM(Raw_Data!J386)</f>
        <v/>
      </c>
      <c r="K386" s="4">
        <f>Raw_Data!K386</f>
        <v/>
      </c>
      <c r="L386" s="4">
        <f>IF(TRIM(Raw_Data!L386)="","No Coupon",TRIM(Raw_Data!L386))</f>
        <v/>
      </c>
      <c r="M386" s="4">
        <f>PROPER(TRIM(Raw_Data!M386))</f>
        <v/>
      </c>
      <c r="N386" s="6">
        <f>ROUND(Raw_Data!N386,2)</f>
        <v/>
      </c>
      <c r="O386" s="7">
        <f>IF(COUNTIF($A$2:$A$1201,A386)&gt;1,"DUPLICATE","Unique")</f>
        <v/>
      </c>
      <c r="P386" s="7">
        <f>IF(COUNTIF($J$2:$J$1201,J386)&gt;1,"DUPLICATE","Unique")</f>
        <v/>
      </c>
      <c r="Q386" s="4">
        <f>IF(TRIM(Raw_Data!L386)="","Yes","No")</f>
        <v/>
      </c>
      <c r="R386" s="4">
        <f>IF(ISNUMBER(B386),"Valid","INVALID")</f>
        <v/>
      </c>
    </row>
    <row r="387">
      <c r="A387" s="4">
        <f>TRIM(Raw_Data!A387)</f>
        <v/>
      </c>
      <c r="B387" s="5">
        <f>Raw_Data!B387</f>
        <v/>
      </c>
      <c r="C387" s="4">
        <f>TRIM(Raw_Data!C387)</f>
        <v/>
      </c>
      <c r="D387" s="4">
        <f>PROPER(TRIM(Raw_Data!D387))</f>
        <v/>
      </c>
      <c r="E387" s="4">
        <f>Raw_Data!E387</f>
        <v/>
      </c>
      <c r="F387" s="6">
        <f>ROUND(Raw_Data!F387,2)</f>
        <v/>
      </c>
      <c r="G387" s="4">
        <f>PROPER(TRIM(Raw_Data!G387))</f>
        <v/>
      </c>
      <c r="H387" s="4">
        <f>PROPER(TRIM(Raw_Data!H387))</f>
        <v/>
      </c>
      <c r="I387" s="4">
        <f>PROPER(TRIM(Raw_Data!I387))</f>
        <v/>
      </c>
      <c r="J387" s="4">
        <f>TRIM(Raw_Data!J387)</f>
        <v/>
      </c>
      <c r="K387" s="4">
        <f>Raw_Data!K387</f>
        <v/>
      </c>
      <c r="L387" s="4">
        <f>IF(TRIM(Raw_Data!L387)="","No Coupon",TRIM(Raw_Data!L387))</f>
        <v/>
      </c>
      <c r="M387" s="4">
        <f>PROPER(TRIM(Raw_Data!M387))</f>
        <v/>
      </c>
      <c r="N387" s="6">
        <f>ROUND(Raw_Data!N387,2)</f>
        <v/>
      </c>
      <c r="O387" s="7">
        <f>IF(COUNTIF($A$2:$A$1201,A387)&gt;1,"DUPLICATE","Unique")</f>
        <v/>
      </c>
      <c r="P387" s="7">
        <f>IF(COUNTIF($J$2:$J$1201,J387)&gt;1,"DUPLICATE","Unique")</f>
        <v/>
      </c>
      <c r="Q387" s="4">
        <f>IF(TRIM(Raw_Data!L387)="","Yes","No")</f>
        <v/>
      </c>
      <c r="R387" s="4">
        <f>IF(ISNUMBER(B387),"Valid","INVALID")</f>
        <v/>
      </c>
    </row>
    <row r="388">
      <c r="A388" s="4">
        <f>TRIM(Raw_Data!A388)</f>
        <v/>
      </c>
      <c r="B388" s="5">
        <f>Raw_Data!B388</f>
        <v/>
      </c>
      <c r="C388" s="4">
        <f>TRIM(Raw_Data!C388)</f>
        <v/>
      </c>
      <c r="D388" s="4">
        <f>PROPER(TRIM(Raw_Data!D388))</f>
        <v/>
      </c>
      <c r="E388" s="4">
        <f>Raw_Data!E388</f>
        <v/>
      </c>
      <c r="F388" s="6">
        <f>ROUND(Raw_Data!F388,2)</f>
        <v/>
      </c>
      <c r="G388" s="4">
        <f>PROPER(TRIM(Raw_Data!G388))</f>
        <v/>
      </c>
      <c r="H388" s="4">
        <f>PROPER(TRIM(Raw_Data!H388))</f>
        <v/>
      </c>
      <c r="I388" s="4">
        <f>PROPER(TRIM(Raw_Data!I388))</f>
        <v/>
      </c>
      <c r="J388" s="4">
        <f>TRIM(Raw_Data!J388)</f>
        <v/>
      </c>
      <c r="K388" s="4">
        <f>Raw_Data!K388</f>
        <v/>
      </c>
      <c r="L388" s="4">
        <f>IF(TRIM(Raw_Data!L388)="","No Coupon",TRIM(Raw_Data!L388))</f>
        <v/>
      </c>
      <c r="M388" s="4">
        <f>PROPER(TRIM(Raw_Data!M388))</f>
        <v/>
      </c>
      <c r="N388" s="6">
        <f>ROUND(Raw_Data!N388,2)</f>
        <v/>
      </c>
      <c r="O388" s="7">
        <f>IF(COUNTIF($A$2:$A$1201,A388)&gt;1,"DUPLICATE","Unique")</f>
        <v/>
      </c>
      <c r="P388" s="7">
        <f>IF(COUNTIF($J$2:$J$1201,J388)&gt;1,"DUPLICATE","Unique")</f>
        <v/>
      </c>
      <c r="Q388" s="4">
        <f>IF(TRIM(Raw_Data!L388)="","Yes","No")</f>
        <v/>
      </c>
      <c r="R388" s="4">
        <f>IF(ISNUMBER(B388),"Valid","INVALID")</f>
        <v/>
      </c>
    </row>
    <row r="389">
      <c r="A389" s="4">
        <f>TRIM(Raw_Data!A389)</f>
        <v/>
      </c>
      <c r="B389" s="5">
        <f>Raw_Data!B389</f>
        <v/>
      </c>
      <c r="C389" s="4">
        <f>TRIM(Raw_Data!C389)</f>
        <v/>
      </c>
      <c r="D389" s="4">
        <f>PROPER(TRIM(Raw_Data!D389))</f>
        <v/>
      </c>
      <c r="E389" s="4">
        <f>Raw_Data!E389</f>
        <v/>
      </c>
      <c r="F389" s="6">
        <f>ROUND(Raw_Data!F389,2)</f>
        <v/>
      </c>
      <c r="G389" s="4">
        <f>PROPER(TRIM(Raw_Data!G389))</f>
        <v/>
      </c>
      <c r="H389" s="4">
        <f>PROPER(TRIM(Raw_Data!H389))</f>
        <v/>
      </c>
      <c r="I389" s="4">
        <f>PROPER(TRIM(Raw_Data!I389))</f>
        <v/>
      </c>
      <c r="J389" s="4">
        <f>TRIM(Raw_Data!J389)</f>
        <v/>
      </c>
      <c r="K389" s="4">
        <f>Raw_Data!K389</f>
        <v/>
      </c>
      <c r="L389" s="4">
        <f>IF(TRIM(Raw_Data!L389)="","No Coupon",TRIM(Raw_Data!L389))</f>
        <v/>
      </c>
      <c r="M389" s="4">
        <f>PROPER(TRIM(Raw_Data!M389))</f>
        <v/>
      </c>
      <c r="N389" s="6">
        <f>ROUND(Raw_Data!N389,2)</f>
        <v/>
      </c>
      <c r="O389" s="7">
        <f>IF(COUNTIF($A$2:$A$1201,A389)&gt;1,"DUPLICATE","Unique")</f>
        <v/>
      </c>
      <c r="P389" s="7">
        <f>IF(COUNTIF($J$2:$J$1201,J389)&gt;1,"DUPLICATE","Unique")</f>
        <v/>
      </c>
      <c r="Q389" s="4">
        <f>IF(TRIM(Raw_Data!L389)="","Yes","No")</f>
        <v/>
      </c>
      <c r="R389" s="4">
        <f>IF(ISNUMBER(B389),"Valid","INVALID")</f>
        <v/>
      </c>
    </row>
    <row r="390">
      <c r="A390" s="4">
        <f>TRIM(Raw_Data!A390)</f>
        <v/>
      </c>
      <c r="B390" s="5">
        <f>Raw_Data!B390</f>
        <v/>
      </c>
      <c r="C390" s="4">
        <f>TRIM(Raw_Data!C390)</f>
        <v/>
      </c>
      <c r="D390" s="4">
        <f>PROPER(TRIM(Raw_Data!D390))</f>
        <v/>
      </c>
      <c r="E390" s="4">
        <f>Raw_Data!E390</f>
        <v/>
      </c>
      <c r="F390" s="6">
        <f>ROUND(Raw_Data!F390,2)</f>
        <v/>
      </c>
      <c r="G390" s="4">
        <f>PROPER(TRIM(Raw_Data!G390))</f>
        <v/>
      </c>
      <c r="H390" s="4">
        <f>PROPER(TRIM(Raw_Data!H390))</f>
        <v/>
      </c>
      <c r="I390" s="4">
        <f>PROPER(TRIM(Raw_Data!I390))</f>
        <v/>
      </c>
      <c r="J390" s="4">
        <f>TRIM(Raw_Data!J390)</f>
        <v/>
      </c>
      <c r="K390" s="4">
        <f>Raw_Data!K390</f>
        <v/>
      </c>
      <c r="L390" s="4">
        <f>IF(TRIM(Raw_Data!L390)="","No Coupon",TRIM(Raw_Data!L390))</f>
        <v/>
      </c>
      <c r="M390" s="4">
        <f>PROPER(TRIM(Raw_Data!M390))</f>
        <v/>
      </c>
      <c r="N390" s="6">
        <f>ROUND(Raw_Data!N390,2)</f>
        <v/>
      </c>
      <c r="O390" s="7">
        <f>IF(COUNTIF($A$2:$A$1201,A390)&gt;1,"DUPLICATE","Unique")</f>
        <v/>
      </c>
      <c r="P390" s="7">
        <f>IF(COUNTIF($J$2:$J$1201,J390)&gt;1,"DUPLICATE","Unique")</f>
        <v/>
      </c>
      <c r="Q390" s="4">
        <f>IF(TRIM(Raw_Data!L390)="","Yes","No")</f>
        <v/>
      </c>
      <c r="R390" s="4">
        <f>IF(ISNUMBER(B390),"Valid","INVALID")</f>
        <v/>
      </c>
    </row>
    <row r="391">
      <c r="A391" s="4">
        <f>TRIM(Raw_Data!A391)</f>
        <v/>
      </c>
      <c r="B391" s="5">
        <f>Raw_Data!B391</f>
        <v/>
      </c>
      <c r="C391" s="4">
        <f>TRIM(Raw_Data!C391)</f>
        <v/>
      </c>
      <c r="D391" s="4">
        <f>PROPER(TRIM(Raw_Data!D391))</f>
        <v/>
      </c>
      <c r="E391" s="4">
        <f>Raw_Data!E391</f>
        <v/>
      </c>
      <c r="F391" s="6">
        <f>ROUND(Raw_Data!F391,2)</f>
        <v/>
      </c>
      <c r="G391" s="4">
        <f>PROPER(TRIM(Raw_Data!G391))</f>
        <v/>
      </c>
      <c r="H391" s="4">
        <f>PROPER(TRIM(Raw_Data!H391))</f>
        <v/>
      </c>
      <c r="I391" s="4">
        <f>PROPER(TRIM(Raw_Data!I391))</f>
        <v/>
      </c>
      <c r="J391" s="4">
        <f>TRIM(Raw_Data!J391)</f>
        <v/>
      </c>
      <c r="K391" s="4">
        <f>Raw_Data!K391</f>
        <v/>
      </c>
      <c r="L391" s="4">
        <f>IF(TRIM(Raw_Data!L391)="","No Coupon",TRIM(Raw_Data!L391))</f>
        <v/>
      </c>
      <c r="M391" s="4">
        <f>PROPER(TRIM(Raw_Data!M391))</f>
        <v/>
      </c>
      <c r="N391" s="6">
        <f>ROUND(Raw_Data!N391,2)</f>
        <v/>
      </c>
      <c r="O391" s="7">
        <f>IF(COUNTIF($A$2:$A$1201,A391)&gt;1,"DUPLICATE","Unique")</f>
        <v/>
      </c>
      <c r="P391" s="7">
        <f>IF(COUNTIF($J$2:$J$1201,J391)&gt;1,"DUPLICATE","Unique")</f>
        <v/>
      </c>
      <c r="Q391" s="4">
        <f>IF(TRIM(Raw_Data!L391)="","Yes","No")</f>
        <v/>
      </c>
      <c r="R391" s="4">
        <f>IF(ISNUMBER(B391),"Valid","INVALID")</f>
        <v/>
      </c>
    </row>
    <row r="392">
      <c r="A392" s="4">
        <f>TRIM(Raw_Data!A392)</f>
        <v/>
      </c>
      <c r="B392" s="5">
        <f>Raw_Data!B392</f>
        <v/>
      </c>
      <c r="C392" s="4">
        <f>TRIM(Raw_Data!C392)</f>
        <v/>
      </c>
      <c r="D392" s="4">
        <f>PROPER(TRIM(Raw_Data!D392))</f>
        <v/>
      </c>
      <c r="E392" s="4">
        <f>Raw_Data!E392</f>
        <v/>
      </c>
      <c r="F392" s="6">
        <f>ROUND(Raw_Data!F392,2)</f>
        <v/>
      </c>
      <c r="G392" s="4">
        <f>PROPER(TRIM(Raw_Data!G392))</f>
        <v/>
      </c>
      <c r="H392" s="4">
        <f>PROPER(TRIM(Raw_Data!H392))</f>
        <v/>
      </c>
      <c r="I392" s="4">
        <f>PROPER(TRIM(Raw_Data!I392))</f>
        <v/>
      </c>
      <c r="J392" s="4">
        <f>TRIM(Raw_Data!J392)</f>
        <v/>
      </c>
      <c r="K392" s="4">
        <f>Raw_Data!K392</f>
        <v/>
      </c>
      <c r="L392" s="4">
        <f>IF(TRIM(Raw_Data!L392)="","No Coupon",TRIM(Raw_Data!L392))</f>
        <v/>
      </c>
      <c r="M392" s="4">
        <f>PROPER(TRIM(Raw_Data!M392))</f>
        <v/>
      </c>
      <c r="N392" s="6">
        <f>ROUND(Raw_Data!N392,2)</f>
        <v/>
      </c>
      <c r="O392" s="7">
        <f>IF(COUNTIF($A$2:$A$1201,A392)&gt;1,"DUPLICATE","Unique")</f>
        <v/>
      </c>
      <c r="P392" s="7">
        <f>IF(COUNTIF($J$2:$J$1201,J392)&gt;1,"DUPLICATE","Unique")</f>
        <v/>
      </c>
      <c r="Q392" s="4">
        <f>IF(TRIM(Raw_Data!L392)="","Yes","No")</f>
        <v/>
      </c>
      <c r="R392" s="4">
        <f>IF(ISNUMBER(B392),"Valid","INVALID")</f>
        <v/>
      </c>
    </row>
    <row r="393">
      <c r="A393" s="4">
        <f>TRIM(Raw_Data!A393)</f>
        <v/>
      </c>
      <c r="B393" s="5">
        <f>Raw_Data!B393</f>
        <v/>
      </c>
      <c r="C393" s="4">
        <f>TRIM(Raw_Data!C393)</f>
        <v/>
      </c>
      <c r="D393" s="4">
        <f>PROPER(TRIM(Raw_Data!D393))</f>
        <v/>
      </c>
      <c r="E393" s="4">
        <f>Raw_Data!E393</f>
        <v/>
      </c>
      <c r="F393" s="6">
        <f>ROUND(Raw_Data!F393,2)</f>
        <v/>
      </c>
      <c r="G393" s="4">
        <f>PROPER(TRIM(Raw_Data!G393))</f>
        <v/>
      </c>
      <c r="H393" s="4">
        <f>PROPER(TRIM(Raw_Data!H393))</f>
        <v/>
      </c>
      <c r="I393" s="4">
        <f>PROPER(TRIM(Raw_Data!I393))</f>
        <v/>
      </c>
      <c r="J393" s="4">
        <f>TRIM(Raw_Data!J393)</f>
        <v/>
      </c>
      <c r="K393" s="4">
        <f>Raw_Data!K393</f>
        <v/>
      </c>
      <c r="L393" s="4">
        <f>IF(TRIM(Raw_Data!L393)="","No Coupon",TRIM(Raw_Data!L393))</f>
        <v/>
      </c>
      <c r="M393" s="4">
        <f>PROPER(TRIM(Raw_Data!M393))</f>
        <v/>
      </c>
      <c r="N393" s="6">
        <f>ROUND(Raw_Data!N393,2)</f>
        <v/>
      </c>
      <c r="O393" s="7">
        <f>IF(COUNTIF($A$2:$A$1201,A393)&gt;1,"DUPLICATE","Unique")</f>
        <v/>
      </c>
      <c r="P393" s="7">
        <f>IF(COUNTIF($J$2:$J$1201,J393)&gt;1,"DUPLICATE","Unique")</f>
        <v/>
      </c>
      <c r="Q393" s="4">
        <f>IF(TRIM(Raw_Data!L393)="","Yes","No")</f>
        <v/>
      </c>
      <c r="R393" s="4">
        <f>IF(ISNUMBER(B393),"Valid","INVALID")</f>
        <v/>
      </c>
    </row>
    <row r="394">
      <c r="A394" s="4">
        <f>TRIM(Raw_Data!A394)</f>
        <v/>
      </c>
      <c r="B394" s="5">
        <f>Raw_Data!B394</f>
        <v/>
      </c>
      <c r="C394" s="4">
        <f>TRIM(Raw_Data!C394)</f>
        <v/>
      </c>
      <c r="D394" s="4">
        <f>PROPER(TRIM(Raw_Data!D394))</f>
        <v/>
      </c>
      <c r="E394" s="4">
        <f>Raw_Data!E394</f>
        <v/>
      </c>
      <c r="F394" s="6">
        <f>ROUND(Raw_Data!F394,2)</f>
        <v/>
      </c>
      <c r="G394" s="4">
        <f>PROPER(TRIM(Raw_Data!G394))</f>
        <v/>
      </c>
      <c r="H394" s="4">
        <f>PROPER(TRIM(Raw_Data!H394))</f>
        <v/>
      </c>
      <c r="I394" s="4">
        <f>PROPER(TRIM(Raw_Data!I394))</f>
        <v/>
      </c>
      <c r="J394" s="4">
        <f>TRIM(Raw_Data!J394)</f>
        <v/>
      </c>
      <c r="K394" s="4">
        <f>Raw_Data!K394</f>
        <v/>
      </c>
      <c r="L394" s="4">
        <f>IF(TRIM(Raw_Data!L394)="","No Coupon",TRIM(Raw_Data!L394))</f>
        <v/>
      </c>
      <c r="M394" s="4">
        <f>PROPER(TRIM(Raw_Data!M394))</f>
        <v/>
      </c>
      <c r="N394" s="6">
        <f>ROUND(Raw_Data!N394,2)</f>
        <v/>
      </c>
      <c r="O394" s="7">
        <f>IF(COUNTIF($A$2:$A$1201,A394)&gt;1,"DUPLICATE","Unique")</f>
        <v/>
      </c>
      <c r="P394" s="7">
        <f>IF(COUNTIF($J$2:$J$1201,J394)&gt;1,"DUPLICATE","Unique")</f>
        <v/>
      </c>
      <c r="Q394" s="4">
        <f>IF(TRIM(Raw_Data!L394)="","Yes","No")</f>
        <v/>
      </c>
      <c r="R394" s="4">
        <f>IF(ISNUMBER(B394),"Valid","INVALID")</f>
        <v/>
      </c>
    </row>
    <row r="395">
      <c r="A395" s="4">
        <f>TRIM(Raw_Data!A395)</f>
        <v/>
      </c>
      <c r="B395" s="5">
        <f>Raw_Data!B395</f>
        <v/>
      </c>
      <c r="C395" s="4">
        <f>TRIM(Raw_Data!C395)</f>
        <v/>
      </c>
      <c r="D395" s="4">
        <f>PROPER(TRIM(Raw_Data!D395))</f>
        <v/>
      </c>
      <c r="E395" s="4">
        <f>Raw_Data!E395</f>
        <v/>
      </c>
      <c r="F395" s="6">
        <f>ROUND(Raw_Data!F395,2)</f>
        <v/>
      </c>
      <c r="G395" s="4">
        <f>PROPER(TRIM(Raw_Data!G395))</f>
        <v/>
      </c>
      <c r="H395" s="4">
        <f>PROPER(TRIM(Raw_Data!H395))</f>
        <v/>
      </c>
      <c r="I395" s="4">
        <f>PROPER(TRIM(Raw_Data!I395))</f>
        <v/>
      </c>
      <c r="J395" s="4">
        <f>TRIM(Raw_Data!J395)</f>
        <v/>
      </c>
      <c r="K395" s="4">
        <f>Raw_Data!K395</f>
        <v/>
      </c>
      <c r="L395" s="4">
        <f>IF(TRIM(Raw_Data!L395)="","No Coupon",TRIM(Raw_Data!L395))</f>
        <v/>
      </c>
      <c r="M395" s="4">
        <f>PROPER(TRIM(Raw_Data!M395))</f>
        <v/>
      </c>
      <c r="N395" s="6">
        <f>ROUND(Raw_Data!N395,2)</f>
        <v/>
      </c>
      <c r="O395" s="7">
        <f>IF(COUNTIF($A$2:$A$1201,A395)&gt;1,"DUPLICATE","Unique")</f>
        <v/>
      </c>
      <c r="P395" s="7">
        <f>IF(COUNTIF($J$2:$J$1201,J395)&gt;1,"DUPLICATE","Unique")</f>
        <v/>
      </c>
      <c r="Q395" s="4">
        <f>IF(TRIM(Raw_Data!L395)="","Yes","No")</f>
        <v/>
      </c>
      <c r="R395" s="4">
        <f>IF(ISNUMBER(B395),"Valid","INVALID")</f>
        <v/>
      </c>
    </row>
    <row r="396">
      <c r="A396" s="4">
        <f>TRIM(Raw_Data!A396)</f>
        <v/>
      </c>
      <c r="B396" s="5">
        <f>Raw_Data!B396</f>
        <v/>
      </c>
      <c r="C396" s="4">
        <f>TRIM(Raw_Data!C396)</f>
        <v/>
      </c>
      <c r="D396" s="4">
        <f>PROPER(TRIM(Raw_Data!D396))</f>
        <v/>
      </c>
      <c r="E396" s="4">
        <f>Raw_Data!E396</f>
        <v/>
      </c>
      <c r="F396" s="6">
        <f>ROUND(Raw_Data!F396,2)</f>
        <v/>
      </c>
      <c r="G396" s="4">
        <f>PROPER(TRIM(Raw_Data!G396))</f>
        <v/>
      </c>
      <c r="H396" s="4">
        <f>PROPER(TRIM(Raw_Data!H396))</f>
        <v/>
      </c>
      <c r="I396" s="4">
        <f>PROPER(TRIM(Raw_Data!I396))</f>
        <v/>
      </c>
      <c r="J396" s="4">
        <f>TRIM(Raw_Data!J396)</f>
        <v/>
      </c>
      <c r="K396" s="4">
        <f>Raw_Data!K396</f>
        <v/>
      </c>
      <c r="L396" s="4">
        <f>IF(TRIM(Raw_Data!L396)="","No Coupon",TRIM(Raw_Data!L396))</f>
        <v/>
      </c>
      <c r="M396" s="4">
        <f>PROPER(TRIM(Raw_Data!M396))</f>
        <v/>
      </c>
      <c r="N396" s="6">
        <f>ROUND(Raw_Data!N396,2)</f>
        <v/>
      </c>
      <c r="O396" s="7">
        <f>IF(COUNTIF($A$2:$A$1201,A396)&gt;1,"DUPLICATE","Unique")</f>
        <v/>
      </c>
      <c r="P396" s="7">
        <f>IF(COUNTIF($J$2:$J$1201,J396)&gt;1,"DUPLICATE","Unique")</f>
        <v/>
      </c>
      <c r="Q396" s="4">
        <f>IF(TRIM(Raw_Data!L396)="","Yes","No")</f>
        <v/>
      </c>
      <c r="R396" s="4">
        <f>IF(ISNUMBER(B396),"Valid","INVALID")</f>
        <v/>
      </c>
    </row>
    <row r="397">
      <c r="A397" s="4">
        <f>TRIM(Raw_Data!A397)</f>
        <v/>
      </c>
      <c r="B397" s="5">
        <f>Raw_Data!B397</f>
        <v/>
      </c>
      <c r="C397" s="4">
        <f>TRIM(Raw_Data!C397)</f>
        <v/>
      </c>
      <c r="D397" s="4">
        <f>PROPER(TRIM(Raw_Data!D397))</f>
        <v/>
      </c>
      <c r="E397" s="4">
        <f>Raw_Data!E397</f>
        <v/>
      </c>
      <c r="F397" s="6">
        <f>ROUND(Raw_Data!F397,2)</f>
        <v/>
      </c>
      <c r="G397" s="4">
        <f>PROPER(TRIM(Raw_Data!G397))</f>
        <v/>
      </c>
      <c r="H397" s="4">
        <f>PROPER(TRIM(Raw_Data!H397))</f>
        <v/>
      </c>
      <c r="I397" s="4">
        <f>PROPER(TRIM(Raw_Data!I397))</f>
        <v/>
      </c>
      <c r="J397" s="4">
        <f>TRIM(Raw_Data!J397)</f>
        <v/>
      </c>
      <c r="K397" s="4">
        <f>Raw_Data!K397</f>
        <v/>
      </c>
      <c r="L397" s="4">
        <f>IF(TRIM(Raw_Data!L397)="","No Coupon",TRIM(Raw_Data!L397))</f>
        <v/>
      </c>
      <c r="M397" s="4">
        <f>PROPER(TRIM(Raw_Data!M397))</f>
        <v/>
      </c>
      <c r="N397" s="6">
        <f>ROUND(Raw_Data!N397,2)</f>
        <v/>
      </c>
      <c r="O397" s="7">
        <f>IF(COUNTIF($A$2:$A$1201,A397)&gt;1,"DUPLICATE","Unique")</f>
        <v/>
      </c>
      <c r="P397" s="7">
        <f>IF(COUNTIF($J$2:$J$1201,J397)&gt;1,"DUPLICATE","Unique")</f>
        <v/>
      </c>
      <c r="Q397" s="4">
        <f>IF(TRIM(Raw_Data!L397)="","Yes","No")</f>
        <v/>
      </c>
      <c r="R397" s="4">
        <f>IF(ISNUMBER(B397),"Valid","INVALID")</f>
        <v/>
      </c>
    </row>
    <row r="398">
      <c r="A398" s="4">
        <f>TRIM(Raw_Data!A398)</f>
        <v/>
      </c>
      <c r="B398" s="5">
        <f>Raw_Data!B398</f>
        <v/>
      </c>
      <c r="C398" s="4">
        <f>TRIM(Raw_Data!C398)</f>
        <v/>
      </c>
      <c r="D398" s="4">
        <f>PROPER(TRIM(Raw_Data!D398))</f>
        <v/>
      </c>
      <c r="E398" s="4">
        <f>Raw_Data!E398</f>
        <v/>
      </c>
      <c r="F398" s="6">
        <f>ROUND(Raw_Data!F398,2)</f>
        <v/>
      </c>
      <c r="G398" s="4">
        <f>PROPER(TRIM(Raw_Data!G398))</f>
        <v/>
      </c>
      <c r="H398" s="4">
        <f>PROPER(TRIM(Raw_Data!H398))</f>
        <v/>
      </c>
      <c r="I398" s="4">
        <f>PROPER(TRIM(Raw_Data!I398))</f>
        <v/>
      </c>
      <c r="J398" s="4">
        <f>TRIM(Raw_Data!J398)</f>
        <v/>
      </c>
      <c r="K398" s="4">
        <f>Raw_Data!K398</f>
        <v/>
      </c>
      <c r="L398" s="4">
        <f>IF(TRIM(Raw_Data!L398)="","No Coupon",TRIM(Raw_Data!L398))</f>
        <v/>
      </c>
      <c r="M398" s="4">
        <f>PROPER(TRIM(Raw_Data!M398))</f>
        <v/>
      </c>
      <c r="N398" s="6">
        <f>ROUND(Raw_Data!N398,2)</f>
        <v/>
      </c>
      <c r="O398" s="7">
        <f>IF(COUNTIF($A$2:$A$1201,A398)&gt;1,"DUPLICATE","Unique")</f>
        <v/>
      </c>
      <c r="P398" s="7">
        <f>IF(COUNTIF($J$2:$J$1201,J398)&gt;1,"DUPLICATE","Unique")</f>
        <v/>
      </c>
      <c r="Q398" s="4">
        <f>IF(TRIM(Raw_Data!L398)="","Yes","No")</f>
        <v/>
      </c>
      <c r="R398" s="4">
        <f>IF(ISNUMBER(B398),"Valid","INVALID")</f>
        <v/>
      </c>
    </row>
    <row r="399">
      <c r="A399" s="4">
        <f>TRIM(Raw_Data!A399)</f>
        <v/>
      </c>
      <c r="B399" s="5">
        <f>Raw_Data!B399</f>
        <v/>
      </c>
      <c r="C399" s="4">
        <f>TRIM(Raw_Data!C399)</f>
        <v/>
      </c>
      <c r="D399" s="4">
        <f>PROPER(TRIM(Raw_Data!D399))</f>
        <v/>
      </c>
      <c r="E399" s="4">
        <f>Raw_Data!E399</f>
        <v/>
      </c>
      <c r="F399" s="6">
        <f>ROUND(Raw_Data!F399,2)</f>
        <v/>
      </c>
      <c r="G399" s="4">
        <f>PROPER(TRIM(Raw_Data!G399))</f>
        <v/>
      </c>
      <c r="H399" s="4">
        <f>PROPER(TRIM(Raw_Data!H399))</f>
        <v/>
      </c>
      <c r="I399" s="4">
        <f>PROPER(TRIM(Raw_Data!I399))</f>
        <v/>
      </c>
      <c r="J399" s="4">
        <f>TRIM(Raw_Data!J399)</f>
        <v/>
      </c>
      <c r="K399" s="4">
        <f>Raw_Data!K399</f>
        <v/>
      </c>
      <c r="L399" s="4">
        <f>IF(TRIM(Raw_Data!L399)="","No Coupon",TRIM(Raw_Data!L399))</f>
        <v/>
      </c>
      <c r="M399" s="4">
        <f>PROPER(TRIM(Raw_Data!M399))</f>
        <v/>
      </c>
      <c r="N399" s="6">
        <f>ROUND(Raw_Data!N399,2)</f>
        <v/>
      </c>
      <c r="O399" s="7">
        <f>IF(COUNTIF($A$2:$A$1201,A399)&gt;1,"DUPLICATE","Unique")</f>
        <v/>
      </c>
      <c r="P399" s="7">
        <f>IF(COUNTIF($J$2:$J$1201,J399)&gt;1,"DUPLICATE","Unique")</f>
        <v/>
      </c>
      <c r="Q399" s="4">
        <f>IF(TRIM(Raw_Data!L399)="","Yes","No")</f>
        <v/>
      </c>
      <c r="R399" s="4">
        <f>IF(ISNUMBER(B399),"Valid","INVALID")</f>
        <v/>
      </c>
    </row>
    <row r="400">
      <c r="A400" s="4">
        <f>TRIM(Raw_Data!A400)</f>
        <v/>
      </c>
      <c r="B400" s="5">
        <f>Raw_Data!B400</f>
        <v/>
      </c>
      <c r="C400" s="4">
        <f>TRIM(Raw_Data!C400)</f>
        <v/>
      </c>
      <c r="D400" s="4">
        <f>PROPER(TRIM(Raw_Data!D400))</f>
        <v/>
      </c>
      <c r="E400" s="4">
        <f>Raw_Data!E400</f>
        <v/>
      </c>
      <c r="F400" s="6">
        <f>ROUND(Raw_Data!F400,2)</f>
        <v/>
      </c>
      <c r="G400" s="4">
        <f>PROPER(TRIM(Raw_Data!G400))</f>
        <v/>
      </c>
      <c r="H400" s="4">
        <f>PROPER(TRIM(Raw_Data!H400))</f>
        <v/>
      </c>
      <c r="I400" s="4">
        <f>PROPER(TRIM(Raw_Data!I400))</f>
        <v/>
      </c>
      <c r="J400" s="4">
        <f>TRIM(Raw_Data!J400)</f>
        <v/>
      </c>
      <c r="K400" s="4">
        <f>Raw_Data!K400</f>
        <v/>
      </c>
      <c r="L400" s="4">
        <f>IF(TRIM(Raw_Data!L400)="","No Coupon",TRIM(Raw_Data!L400))</f>
        <v/>
      </c>
      <c r="M400" s="4">
        <f>PROPER(TRIM(Raw_Data!M400))</f>
        <v/>
      </c>
      <c r="N400" s="6">
        <f>ROUND(Raw_Data!N400,2)</f>
        <v/>
      </c>
      <c r="O400" s="7">
        <f>IF(COUNTIF($A$2:$A$1201,A400)&gt;1,"DUPLICATE","Unique")</f>
        <v/>
      </c>
      <c r="P400" s="7">
        <f>IF(COUNTIF($J$2:$J$1201,J400)&gt;1,"DUPLICATE","Unique")</f>
        <v/>
      </c>
      <c r="Q400" s="4">
        <f>IF(TRIM(Raw_Data!L400)="","Yes","No")</f>
        <v/>
      </c>
      <c r="R400" s="4">
        <f>IF(ISNUMBER(B400),"Valid","INVALID")</f>
        <v/>
      </c>
    </row>
    <row r="401">
      <c r="A401" s="4">
        <f>TRIM(Raw_Data!A401)</f>
        <v/>
      </c>
      <c r="B401" s="5">
        <f>Raw_Data!B401</f>
        <v/>
      </c>
      <c r="C401" s="4">
        <f>TRIM(Raw_Data!C401)</f>
        <v/>
      </c>
      <c r="D401" s="4">
        <f>PROPER(TRIM(Raw_Data!D401))</f>
        <v/>
      </c>
      <c r="E401" s="4">
        <f>Raw_Data!E401</f>
        <v/>
      </c>
      <c r="F401" s="6">
        <f>ROUND(Raw_Data!F401,2)</f>
        <v/>
      </c>
      <c r="G401" s="4">
        <f>PROPER(TRIM(Raw_Data!G401))</f>
        <v/>
      </c>
      <c r="H401" s="4">
        <f>PROPER(TRIM(Raw_Data!H401))</f>
        <v/>
      </c>
      <c r="I401" s="4">
        <f>PROPER(TRIM(Raw_Data!I401))</f>
        <v/>
      </c>
      <c r="J401" s="4">
        <f>TRIM(Raw_Data!J401)</f>
        <v/>
      </c>
      <c r="K401" s="4">
        <f>Raw_Data!K401</f>
        <v/>
      </c>
      <c r="L401" s="4">
        <f>IF(TRIM(Raw_Data!L401)="","No Coupon",TRIM(Raw_Data!L401))</f>
        <v/>
      </c>
      <c r="M401" s="4">
        <f>PROPER(TRIM(Raw_Data!M401))</f>
        <v/>
      </c>
      <c r="N401" s="6">
        <f>ROUND(Raw_Data!N401,2)</f>
        <v/>
      </c>
      <c r="O401" s="7">
        <f>IF(COUNTIF($A$2:$A$1201,A401)&gt;1,"DUPLICATE","Unique")</f>
        <v/>
      </c>
      <c r="P401" s="7">
        <f>IF(COUNTIF($J$2:$J$1201,J401)&gt;1,"DUPLICATE","Unique")</f>
        <v/>
      </c>
      <c r="Q401" s="4">
        <f>IF(TRIM(Raw_Data!L401)="","Yes","No")</f>
        <v/>
      </c>
      <c r="R401" s="4">
        <f>IF(ISNUMBER(B401),"Valid","INVALID")</f>
        <v/>
      </c>
    </row>
    <row r="402">
      <c r="A402" s="4">
        <f>TRIM(Raw_Data!A402)</f>
        <v/>
      </c>
      <c r="B402" s="5">
        <f>Raw_Data!B402</f>
        <v/>
      </c>
      <c r="C402" s="4">
        <f>TRIM(Raw_Data!C402)</f>
        <v/>
      </c>
      <c r="D402" s="4">
        <f>PROPER(TRIM(Raw_Data!D402))</f>
        <v/>
      </c>
      <c r="E402" s="4">
        <f>Raw_Data!E402</f>
        <v/>
      </c>
      <c r="F402" s="6">
        <f>ROUND(Raw_Data!F402,2)</f>
        <v/>
      </c>
      <c r="G402" s="4">
        <f>PROPER(TRIM(Raw_Data!G402))</f>
        <v/>
      </c>
      <c r="H402" s="4">
        <f>PROPER(TRIM(Raw_Data!H402))</f>
        <v/>
      </c>
      <c r="I402" s="4">
        <f>PROPER(TRIM(Raw_Data!I402))</f>
        <v/>
      </c>
      <c r="J402" s="4">
        <f>TRIM(Raw_Data!J402)</f>
        <v/>
      </c>
      <c r="K402" s="4">
        <f>Raw_Data!K402</f>
        <v/>
      </c>
      <c r="L402" s="4">
        <f>IF(TRIM(Raw_Data!L402)="","No Coupon",TRIM(Raw_Data!L402))</f>
        <v/>
      </c>
      <c r="M402" s="4">
        <f>PROPER(TRIM(Raw_Data!M402))</f>
        <v/>
      </c>
      <c r="N402" s="6">
        <f>ROUND(Raw_Data!N402,2)</f>
        <v/>
      </c>
      <c r="O402" s="7">
        <f>IF(COUNTIF($A$2:$A$1201,A402)&gt;1,"DUPLICATE","Unique")</f>
        <v/>
      </c>
      <c r="P402" s="7">
        <f>IF(COUNTIF($J$2:$J$1201,J402)&gt;1,"DUPLICATE","Unique")</f>
        <v/>
      </c>
      <c r="Q402" s="4">
        <f>IF(TRIM(Raw_Data!L402)="","Yes","No")</f>
        <v/>
      </c>
      <c r="R402" s="4">
        <f>IF(ISNUMBER(B402),"Valid","INVALID")</f>
        <v/>
      </c>
    </row>
    <row r="403">
      <c r="A403" s="4">
        <f>TRIM(Raw_Data!A403)</f>
        <v/>
      </c>
      <c r="B403" s="5">
        <f>Raw_Data!B403</f>
        <v/>
      </c>
      <c r="C403" s="4">
        <f>TRIM(Raw_Data!C403)</f>
        <v/>
      </c>
      <c r="D403" s="4">
        <f>PROPER(TRIM(Raw_Data!D403))</f>
        <v/>
      </c>
      <c r="E403" s="4">
        <f>Raw_Data!E403</f>
        <v/>
      </c>
      <c r="F403" s="6">
        <f>ROUND(Raw_Data!F403,2)</f>
        <v/>
      </c>
      <c r="G403" s="4">
        <f>PROPER(TRIM(Raw_Data!G403))</f>
        <v/>
      </c>
      <c r="H403" s="4">
        <f>PROPER(TRIM(Raw_Data!H403))</f>
        <v/>
      </c>
      <c r="I403" s="4">
        <f>PROPER(TRIM(Raw_Data!I403))</f>
        <v/>
      </c>
      <c r="J403" s="4">
        <f>TRIM(Raw_Data!J403)</f>
        <v/>
      </c>
      <c r="K403" s="4">
        <f>Raw_Data!K403</f>
        <v/>
      </c>
      <c r="L403" s="4">
        <f>IF(TRIM(Raw_Data!L403)="","No Coupon",TRIM(Raw_Data!L403))</f>
        <v/>
      </c>
      <c r="M403" s="4">
        <f>PROPER(TRIM(Raw_Data!M403))</f>
        <v/>
      </c>
      <c r="N403" s="6">
        <f>ROUND(Raw_Data!N403,2)</f>
        <v/>
      </c>
      <c r="O403" s="7">
        <f>IF(COUNTIF($A$2:$A$1201,A403)&gt;1,"DUPLICATE","Unique")</f>
        <v/>
      </c>
      <c r="P403" s="7">
        <f>IF(COUNTIF($J$2:$J$1201,J403)&gt;1,"DUPLICATE","Unique")</f>
        <v/>
      </c>
      <c r="Q403" s="4">
        <f>IF(TRIM(Raw_Data!L403)="","Yes","No")</f>
        <v/>
      </c>
      <c r="R403" s="4">
        <f>IF(ISNUMBER(B403),"Valid","INVALID")</f>
        <v/>
      </c>
    </row>
    <row r="404">
      <c r="A404" s="4">
        <f>TRIM(Raw_Data!A404)</f>
        <v/>
      </c>
      <c r="B404" s="5">
        <f>Raw_Data!B404</f>
        <v/>
      </c>
      <c r="C404" s="4">
        <f>TRIM(Raw_Data!C404)</f>
        <v/>
      </c>
      <c r="D404" s="4">
        <f>PROPER(TRIM(Raw_Data!D404))</f>
        <v/>
      </c>
      <c r="E404" s="4">
        <f>Raw_Data!E404</f>
        <v/>
      </c>
      <c r="F404" s="6">
        <f>ROUND(Raw_Data!F404,2)</f>
        <v/>
      </c>
      <c r="G404" s="4">
        <f>PROPER(TRIM(Raw_Data!G404))</f>
        <v/>
      </c>
      <c r="H404" s="4">
        <f>PROPER(TRIM(Raw_Data!H404))</f>
        <v/>
      </c>
      <c r="I404" s="4">
        <f>PROPER(TRIM(Raw_Data!I404))</f>
        <v/>
      </c>
      <c r="J404" s="4">
        <f>TRIM(Raw_Data!J404)</f>
        <v/>
      </c>
      <c r="K404" s="4">
        <f>Raw_Data!K404</f>
        <v/>
      </c>
      <c r="L404" s="4">
        <f>IF(TRIM(Raw_Data!L404)="","No Coupon",TRIM(Raw_Data!L404))</f>
        <v/>
      </c>
      <c r="M404" s="4">
        <f>PROPER(TRIM(Raw_Data!M404))</f>
        <v/>
      </c>
      <c r="N404" s="6">
        <f>ROUND(Raw_Data!N404,2)</f>
        <v/>
      </c>
      <c r="O404" s="7">
        <f>IF(COUNTIF($A$2:$A$1201,A404)&gt;1,"DUPLICATE","Unique")</f>
        <v/>
      </c>
      <c r="P404" s="7">
        <f>IF(COUNTIF($J$2:$J$1201,J404)&gt;1,"DUPLICATE","Unique")</f>
        <v/>
      </c>
      <c r="Q404" s="4">
        <f>IF(TRIM(Raw_Data!L404)="","Yes","No")</f>
        <v/>
      </c>
      <c r="R404" s="4">
        <f>IF(ISNUMBER(B404),"Valid","INVALID")</f>
        <v/>
      </c>
    </row>
    <row r="405">
      <c r="A405" s="4">
        <f>TRIM(Raw_Data!A405)</f>
        <v/>
      </c>
      <c r="B405" s="5">
        <f>Raw_Data!B405</f>
        <v/>
      </c>
      <c r="C405" s="4">
        <f>TRIM(Raw_Data!C405)</f>
        <v/>
      </c>
      <c r="D405" s="4">
        <f>PROPER(TRIM(Raw_Data!D405))</f>
        <v/>
      </c>
      <c r="E405" s="4">
        <f>Raw_Data!E405</f>
        <v/>
      </c>
      <c r="F405" s="6">
        <f>ROUND(Raw_Data!F405,2)</f>
        <v/>
      </c>
      <c r="G405" s="4">
        <f>PROPER(TRIM(Raw_Data!G405))</f>
        <v/>
      </c>
      <c r="H405" s="4">
        <f>PROPER(TRIM(Raw_Data!H405))</f>
        <v/>
      </c>
      <c r="I405" s="4">
        <f>PROPER(TRIM(Raw_Data!I405))</f>
        <v/>
      </c>
      <c r="J405" s="4">
        <f>TRIM(Raw_Data!J405)</f>
        <v/>
      </c>
      <c r="K405" s="4">
        <f>Raw_Data!K405</f>
        <v/>
      </c>
      <c r="L405" s="4">
        <f>IF(TRIM(Raw_Data!L405)="","No Coupon",TRIM(Raw_Data!L405))</f>
        <v/>
      </c>
      <c r="M405" s="4">
        <f>PROPER(TRIM(Raw_Data!M405))</f>
        <v/>
      </c>
      <c r="N405" s="6">
        <f>ROUND(Raw_Data!N405,2)</f>
        <v/>
      </c>
      <c r="O405" s="7">
        <f>IF(COUNTIF($A$2:$A$1201,A405)&gt;1,"DUPLICATE","Unique")</f>
        <v/>
      </c>
      <c r="P405" s="7">
        <f>IF(COUNTIF($J$2:$J$1201,J405)&gt;1,"DUPLICATE","Unique")</f>
        <v/>
      </c>
      <c r="Q405" s="4">
        <f>IF(TRIM(Raw_Data!L405)="","Yes","No")</f>
        <v/>
      </c>
      <c r="R405" s="4">
        <f>IF(ISNUMBER(B405),"Valid","INVALID")</f>
        <v/>
      </c>
    </row>
    <row r="406">
      <c r="A406" s="4">
        <f>TRIM(Raw_Data!A406)</f>
        <v/>
      </c>
      <c r="B406" s="5">
        <f>Raw_Data!B406</f>
        <v/>
      </c>
      <c r="C406" s="4">
        <f>TRIM(Raw_Data!C406)</f>
        <v/>
      </c>
      <c r="D406" s="4">
        <f>PROPER(TRIM(Raw_Data!D406))</f>
        <v/>
      </c>
      <c r="E406" s="4">
        <f>Raw_Data!E406</f>
        <v/>
      </c>
      <c r="F406" s="6">
        <f>ROUND(Raw_Data!F406,2)</f>
        <v/>
      </c>
      <c r="G406" s="4">
        <f>PROPER(TRIM(Raw_Data!G406))</f>
        <v/>
      </c>
      <c r="H406" s="4">
        <f>PROPER(TRIM(Raw_Data!H406))</f>
        <v/>
      </c>
      <c r="I406" s="4">
        <f>PROPER(TRIM(Raw_Data!I406))</f>
        <v/>
      </c>
      <c r="J406" s="4">
        <f>TRIM(Raw_Data!J406)</f>
        <v/>
      </c>
      <c r="K406" s="4">
        <f>Raw_Data!K406</f>
        <v/>
      </c>
      <c r="L406" s="4">
        <f>IF(TRIM(Raw_Data!L406)="","No Coupon",TRIM(Raw_Data!L406))</f>
        <v/>
      </c>
      <c r="M406" s="4">
        <f>PROPER(TRIM(Raw_Data!M406))</f>
        <v/>
      </c>
      <c r="N406" s="6">
        <f>ROUND(Raw_Data!N406,2)</f>
        <v/>
      </c>
      <c r="O406" s="7">
        <f>IF(COUNTIF($A$2:$A$1201,A406)&gt;1,"DUPLICATE","Unique")</f>
        <v/>
      </c>
      <c r="P406" s="7">
        <f>IF(COUNTIF($J$2:$J$1201,J406)&gt;1,"DUPLICATE","Unique")</f>
        <v/>
      </c>
      <c r="Q406" s="4">
        <f>IF(TRIM(Raw_Data!L406)="","Yes","No")</f>
        <v/>
      </c>
      <c r="R406" s="4">
        <f>IF(ISNUMBER(B406),"Valid","INVALID")</f>
        <v/>
      </c>
    </row>
    <row r="407">
      <c r="A407" s="4">
        <f>TRIM(Raw_Data!A407)</f>
        <v/>
      </c>
      <c r="B407" s="5">
        <f>Raw_Data!B407</f>
        <v/>
      </c>
      <c r="C407" s="4">
        <f>TRIM(Raw_Data!C407)</f>
        <v/>
      </c>
      <c r="D407" s="4">
        <f>PROPER(TRIM(Raw_Data!D407))</f>
        <v/>
      </c>
      <c r="E407" s="4">
        <f>Raw_Data!E407</f>
        <v/>
      </c>
      <c r="F407" s="6">
        <f>ROUND(Raw_Data!F407,2)</f>
        <v/>
      </c>
      <c r="G407" s="4">
        <f>PROPER(TRIM(Raw_Data!G407))</f>
        <v/>
      </c>
      <c r="H407" s="4">
        <f>PROPER(TRIM(Raw_Data!H407))</f>
        <v/>
      </c>
      <c r="I407" s="4">
        <f>PROPER(TRIM(Raw_Data!I407))</f>
        <v/>
      </c>
      <c r="J407" s="4">
        <f>TRIM(Raw_Data!J407)</f>
        <v/>
      </c>
      <c r="K407" s="4">
        <f>Raw_Data!K407</f>
        <v/>
      </c>
      <c r="L407" s="4">
        <f>IF(TRIM(Raw_Data!L407)="","No Coupon",TRIM(Raw_Data!L407))</f>
        <v/>
      </c>
      <c r="M407" s="4">
        <f>PROPER(TRIM(Raw_Data!M407))</f>
        <v/>
      </c>
      <c r="N407" s="6">
        <f>ROUND(Raw_Data!N407,2)</f>
        <v/>
      </c>
      <c r="O407" s="7">
        <f>IF(COUNTIF($A$2:$A$1201,A407)&gt;1,"DUPLICATE","Unique")</f>
        <v/>
      </c>
      <c r="P407" s="7">
        <f>IF(COUNTIF($J$2:$J$1201,J407)&gt;1,"DUPLICATE","Unique")</f>
        <v/>
      </c>
      <c r="Q407" s="4">
        <f>IF(TRIM(Raw_Data!L407)="","Yes","No")</f>
        <v/>
      </c>
      <c r="R407" s="4">
        <f>IF(ISNUMBER(B407),"Valid","INVALID")</f>
        <v/>
      </c>
    </row>
    <row r="408">
      <c r="A408" s="4">
        <f>TRIM(Raw_Data!A408)</f>
        <v/>
      </c>
      <c r="B408" s="5">
        <f>Raw_Data!B408</f>
        <v/>
      </c>
      <c r="C408" s="4">
        <f>TRIM(Raw_Data!C408)</f>
        <v/>
      </c>
      <c r="D408" s="4">
        <f>PROPER(TRIM(Raw_Data!D408))</f>
        <v/>
      </c>
      <c r="E408" s="4">
        <f>Raw_Data!E408</f>
        <v/>
      </c>
      <c r="F408" s="6">
        <f>ROUND(Raw_Data!F408,2)</f>
        <v/>
      </c>
      <c r="G408" s="4">
        <f>PROPER(TRIM(Raw_Data!G408))</f>
        <v/>
      </c>
      <c r="H408" s="4">
        <f>PROPER(TRIM(Raw_Data!H408))</f>
        <v/>
      </c>
      <c r="I408" s="4">
        <f>PROPER(TRIM(Raw_Data!I408))</f>
        <v/>
      </c>
      <c r="J408" s="4">
        <f>TRIM(Raw_Data!J408)</f>
        <v/>
      </c>
      <c r="K408" s="4">
        <f>Raw_Data!K408</f>
        <v/>
      </c>
      <c r="L408" s="4">
        <f>IF(TRIM(Raw_Data!L408)="","No Coupon",TRIM(Raw_Data!L408))</f>
        <v/>
      </c>
      <c r="M408" s="4">
        <f>PROPER(TRIM(Raw_Data!M408))</f>
        <v/>
      </c>
      <c r="N408" s="6">
        <f>ROUND(Raw_Data!N408,2)</f>
        <v/>
      </c>
      <c r="O408" s="7">
        <f>IF(COUNTIF($A$2:$A$1201,A408)&gt;1,"DUPLICATE","Unique")</f>
        <v/>
      </c>
      <c r="P408" s="7">
        <f>IF(COUNTIF($J$2:$J$1201,J408)&gt;1,"DUPLICATE","Unique")</f>
        <v/>
      </c>
      <c r="Q408" s="4">
        <f>IF(TRIM(Raw_Data!L408)="","Yes","No")</f>
        <v/>
      </c>
      <c r="R408" s="4">
        <f>IF(ISNUMBER(B408),"Valid","INVALID")</f>
        <v/>
      </c>
    </row>
    <row r="409">
      <c r="A409" s="4">
        <f>TRIM(Raw_Data!A409)</f>
        <v/>
      </c>
      <c r="B409" s="5">
        <f>Raw_Data!B409</f>
        <v/>
      </c>
      <c r="C409" s="4">
        <f>TRIM(Raw_Data!C409)</f>
        <v/>
      </c>
      <c r="D409" s="4">
        <f>PROPER(TRIM(Raw_Data!D409))</f>
        <v/>
      </c>
      <c r="E409" s="4">
        <f>Raw_Data!E409</f>
        <v/>
      </c>
      <c r="F409" s="6">
        <f>ROUND(Raw_Data!F409,2)</f>
        <v/>
      </c>
      <c r="G409" s="4">
        <f>PROPER(TRIM(Raw_Data!G409))</f>
        <v/>
      </c>
      <c r="H409" s="4">
        <f>PROPER(TRIM(Raw_Data!H409))</f>
        <v/>
      </c>
      <c r="I409" s="4">
        <f>PROPER(TRIM(Raw_Data!I409))</f>
        <v/>
      </c>
      <c r="J409" s="4">
        <f>TRIM(Raw_Data!J409)</f>
        <v/>
      </c>
      <c r="K409" s="4">
        <f>Raw_Data!K409</f>
        <v/>
      </c>
      <c r="L409" s="4">
        <f>IF(TRIM(Raw_Data!L409)="","No Coupon",TRIM(Raw_Data!L409))</f>
        <v/>
      </c>
      <c r="M409" s="4">
        <f>PROPER(TRIM(Raw_Data!M409))</f>
        <v/>
      </c>
      <c r="N409" s="6">
        <f>ROUND(Raw_Data!N409,2)</f>
        <v/>
      </c>
      <c r="O409" s="7">
        <f>IF(COUNTIF($A$2:$A$1201,A409)&gt;1,"DUPLICATE","Unique")</f>
        <v/>
      </c>
      <c r="P409" s="7">
        <f>IF(COUNTIF($J$2:$J$1201,J409)&gt;1,"DUPLICATE","Unique")</f>
        <v/>
      </c>
      <c r="Q409" s="4">
        <f>IF(TRIM(Raw_Data!L409)="","Yes","No")</f>
        <v/>
      </c>
      <c r="R409" s="4">
        <f>IF(ISNUMBER(B409),"Valid","INVALID")</f>
        <v/>
      </c>
    </row>
    <row r="410">
      <c r="A410" s="4">
        <f>TRIM(Raw_Data!A410)</f>
        <v/>
      </c>
      <c r="B410" s="5">
        <f>Raw_Data!B410</f>
        <v/>
      </c>
      <c r="C410" s="4">
        <f>TRIM(Raw_Data!C410)</f>
        <v/>
      </c>
      <c r="D410" s="4">
        <f>PROPER(TRIM(Raw_Data!D410))</f>
        <v/>
      </c>
      <c r="E410" s="4">
        <f>Raw_Data!E410</f>
        <v/>
      </c>
      <c r="F410" s="6">
        <f>ROUND(Raw_Data!F410,2)</f>
        <v/>
      </c>
      <c r="G410" s="4">
        <f>PROPER(TRIM(Raw_Data!G410))</f>
        <v/>
      </c>
      <c r="H410" s="4">
        <f>PROPER(TRIM(Raw_Data!H410))</f>
        <v/>
      </c>
      <c r="I410" s="4">
        <f>PROPER(TRIM(Raw_Data!I410))</f>
        <v/>
      </c>
      <c r="J410" s="4">
        <f>TRIM(Raw_Data!J410)</f>
        <v/>
      </c>
      <c r="K410" s="4">
        <f>Raw_Data!K410</f>
        <v/>
      </c>
      <c r="L410" s="4">
        <f>IF(TRIM(Raw_Data!L410)="","No Coupon",TRIM(Raw_Data!L410))</f>
        <v/>
      </c>
      <c r="M410" s="4">
        <f>PROPER(TRIM(Raw_Data!M410))</f>
        <v/>
      </c>
      <c r="N410" s="6">
        <f>ROUND(Raw_Data!N410,2)</f>
        <v/>
      </c>
      <c r="O410" s="7">
        <f>IF(COUNTIF($A$2:$A$1201,A410)&gt;1,"DUPLICATE","Unique")</f>
        <v/>
      </c>
      <c r="P410" s="7">
        <f>IF(COUNTIF($J$2:$J$1201,J410)&gt;1,"DUPLICATE","Unique")</f>
        <v/>
      </c>
      <c r="Q410" s="4">
        <f>IF(TRIM(Raw_Data!L410)="","Yes","No")</f>
        <v/>
      </c>
      <c r="R410" s="4">
        <f>IF(ISNUMBER(B410),"Valid","INVALID")</f>
        <v/>
      </c>
    </row>
    <row r="411">
      <c r="A411" s="4">
        <f>TRIM(Raw_Data!A411)</f>
        <v/>
      </c>
      <c r="B411" s="5">
        <f>Raw_Data!B411</f>
        <v/>
      </c>
      <c r="C411" s="4">
        <f>TRIM(Raw_Data!C411)</f>
        <v/>
      </c>
      <c r="D411" s="4">
        <f>PROPER(TRIM(Raw_Data!D411))</f>
        <v/>
      </c>
      <c r="E411" s="4">
        <f>Raw_Data!E411</f>
        <v/>
      </c>
      <c r="F411" s="6">
        <f>ROUND(Raw_Data!F411,2)</f>
        <v/>
      </c>
      <c r="G411" s="4">
        <f>PROPER(TRIM(Raw_Data!G411))</f>
        <v/>
      </c>
      <c r="H411" s="4">
        <f>PROPER(TRIM(Raw_Data!H411))</f>
        <v/>
      </c>
      <c r="I411" s="4">
        <f>PROPER(TRIM(Raw_Data!I411))</f>
        <v/>
      </c>
      <c r="J411" s="4">
        <f>TRIM(Raw_Data!J411)</f>
        <v/>
      </c>
      <c r="K411" s="4">
        <f>Raw_Data!K411</f>
        <v/>
      </c>
      <c r="L411" s="4">
        <f>IF(TRIM(Raw_Data!L411)="","No Coupon",TRIM(Raw_Data!L411))</f>
        <v/>
      </c>
      <c r="M411" s="4">
        <f>PROPER(TRIM(Raw_Data!M411))</f>
        <v/>
      </c>
      <c r="N411" s="6">
        <f>ROUND(Raw_Data!N411,2)</f>
        <v/>
      </c>
      <c r="O411" s="7">
        <f>IF(COUNTIF($A$2:$A$1201,A411)&gt;1,"DUPLICATE","Unique")</f>
        <v/>
      </c>
      <c r="P411" s="7">
        <f>IF(COUNTIF($J$2:$J$1201,J411)&gt;1,"DUPLICATE","Unique")</f>
        <v/>
      </c>
      <c r="Q411" s="4">
        <f>IF(TRIM(Raw_Data!L411)="","Yes","No")</f>
        <v/>
      </c>
      <c r="R411" s="4">
        <f>IF(ISNUMBER(B411),"Valid","INVALID")</f>
        <v/>
      </c>
    </row>
    <row r="412">
      <c r="A412" s="4">
        <f>TRIM(Raw_Data!A412)</f>
        <v/>
      </c>
      <c r="B412" s="5">
        <f>Raw_Data!B412</f>
        <v/>
      </c>
      <c r="C412" s="4">
        <f>TRIM(Raw_Data!C412)</f>
        <v/>
      </c>
      <c r="D412" s="4">
        <f>PROPER(TRIM(Raw_Data!D412))</f>
        <v/>
      </c>
      <c r="E412" s="4">
        <f>Raw_Data!E412</f>
        <v/>
      </c>
      <c r="F412" s="6">
        <f>ROUND(Raw_Data!F412,2)</f>
        <v/>
      </c>
      <c r="G412" s="4">
        <f>PROPER(TRIM(Raw_Data!G412))</f>
        <v/>
      </c>
      <c r="H412" s="4">
        <f>PROPER(TRIM(Raw_Data!H412))</f>
        <v/>
      </c>
      <c r="I412" s="4">
        <f>PROPER(TRIM(Raw_Data!I412))</f>
        <v/>
      </c>
      <c r="J412" s="4">
        <f>TRIM(Raw_Data!J412)</f>
        <v/>
      </c>
      <c r="K412" s="4">
        <f>Raw_Data!K412</f>
        <v/>
      </c>
      <c r="L412" s="4">
        <f>IF(TRIM(Raw_Data!L412)="","No Coupon",TRIM(Raw_Data!L412))</f>
        <v/>
      </c>
      <c r="M412" s="4">
        <f>PROPER(TRIM(Raw_Data!M412))</f>
        <v/>
      </c>
      <c r="N412" s="6">
        <f>ROUND(Raw_Data!N412,2)</f>
        <v/>
      </c>
      <c r="O412" s="7">
        <f>IF(COUNTIF($A$2:$A$1201,A412)&gt;1,"DUPLICATE","Unique")</f>
        <v/>
      </c>
      <c r="P412" s="7">
        <f>IF(COUNTIF($J$2:$J$1201,J412)&gt;1,"DUPLICATE","Unique")</f>
        <v/>
      </c>
      <c r="Q412" s="4">
        <f>IF(TRIM(Raw_Data!L412)="","Yes","No")</f>
        <v/>
      </c>
      <c r="R412" s="4">
        <f>IF(ISNUMBER(B412),"Valid","INVALID")</f>
        <v/>
      </c>
    </row>
    <row r="413">
      <c r="A413" s="4">
        <f>TRIM(Raw_Data!A413)</f>
        <v/>
      </c>
      <c r="B413" s="5">
        <f>Raw_Data!B413</f>
        <v/>
      </c>
      <c r="C413" s="4">
        <f>TRIM(Raw_Data!C413)</f>
        <v/>
      </c>
      <c r="D413" s="4">
        <f>PROPER(TRIM(Raw_Data!D413))</f>
        <v/>
      </c>
      <c r="E413" s="4">
        <f>Raw_Data!E413</f>
        <v/>
      </c>
      <c r="F413" s="6">
        <f>ROUND(Raw_Data!F413,2)</f>
        <v/>
      </c>
      <c r="G413" s="4">
        <f>PROPER(TRIM(Raw_Data!G413))</f>
        <v/>
      </c>
      <c r="H413" s="4">
        <f>PROPER(TRIM(Raw_Data!H413))</f>
        <v/>
      </c>
      <c r="I413" s="4">
        <f>PROPER(TRIM(Raw_Data!I413))</f>
        <v/>
      </c>
      <c r="J413" s="4">
        <f>TRIM(Raw_Data!J413)</f>
        <v/>
      </c>
      <c r="K413" s="4">
        <f>Raw_Data!K413</f>
        <v/>
      </c>
      <c r="L413" s="4">
        <f>IF(TRIM(Raw_Data!L413)="","No Coupon",TRIM(Raw_Data!L413))</f>
        <v/>
      </c>
      <c r="M413" s="4">
        <f>PROPER(TRIM(Raw_Data!M413))</f>
        <v/>
      </c>
      <c r="N413" s="6">
        <f>ROUND(Raw_Data!N413,2)</f>
        <v/>
      </c>
      <c r="O413" s="7">
        <f>IF(COUNTIF($A$2:$A$1201,A413)&gt;1,"DUPLICATE","Unique")</f>
        <v/>
      </c>
      <c r="P413" s="7">
        <f>IF(COUNTIF($J$2:$J$1201,J413)&gt;1,"DUPLICATE","Unique")</f>
        <v/>
      </c>
      <c r="Q413" s="4">
        <f>IF(TRIM(Raw_Data!L413)="","Yes","No")</f>
        <v/>
      </c>
      <c r="R413" s="4">
        <f>IF(ISNUMBER(B413),"Valid","INVALID")</f>
        <v/>
      </c>
    </row>
    <row r="414">
      <c r="A414" s="4">
        <f>TRIM(Raw_Data!A414)</f>
        <v/>
      </c>
      <c r="B414" s="5">
        <f>Raw_Data!B414</f>
        <v/>
      </c>
      <c r="C414" s="4">
        <f>TRIM(Raw_Data!C414)</f>
        <v/>
      </c>
      <c r="D414" s="4">
        <f>PROPER(TRIM(Raw_Data!D414))</f>
        <v/>
      </c>
      <c r="E414" s="4">
        <f>Raw_Data!E414</f>
        <v/>
      </c>
      <c r="F414" s="6">
        <f>ROUND(Raw_Data!F414,2)</f>
        <v/>
      </c>
      <c r="G414" s="4">
        <f>PROPER(TRIM(Raw_Data!G414))</f>
        <v/>
      </c>
      <c r="H414" s="4">
        <f>PROPER(TRIM(Raw_Data!H414))</f>
        <v/>
      </c>
      <c r="I414" s="4">
        <f>PROPER(TRIM(Raw_Data!I414))</f>
        <v/>
      </c>
      <c r="J414" s="4">
        <f>TRIM(Raw_Data!J414)</f>
        <v/>
      </c>
      <c r="K414" s="4">
        <f>Raw_Data!K414</f>
        <v/>
      </c>
      <c r="L414" s="4">
        <f>IF(TRIM(Raw_Data!L414)="","No Coupon",TRIM(Raw_Data!L414))</f>
        <v/>
      </c>
      <c r="M414" s="4">
        <f>PROPER(TRIM(Raw_Data!M414))</f>
        <v/>
      </c>
      <c r="N414" s="6">
        <f>ROUND(Raw_Data!N414,2)</f>
        <v/>
      </c>
      <c r="O414" s="7">
        <f>IF(COUNTIF($A$2:$A$1201,A414)&gt;1,"DUPLICATE","Unique")</f>
        <v/>
      </c>
      <c r="P414" s="7">
        <f>IF(COUNTIF($J$2:$J$1201,J414)&gt;1,"DUPLICATE","Unique")</f>
        <v/>
      </c>
      <c r="Q414" s="4">
        <f>IF(TRIM(Raw_Data!L414)="","Yes","No")</f>
        <v/>
      </c>
      <c r="R414" s="4">
        <f>IF(ISNUMBER(B414),"Valid","INVALID")</f>
        <v/>
      </c>
    </row>
    <row r="415">
      <c r="A415" s="4">
        <f>TRIM(Raw_Data!A415)</f>
        <v/>
      </c>
      <c r="B415" s="5">
        <f>Raw_Data!B415</f>
        <v/>
      </c>
      <c r="C415" s="4">
        <f>TRIM(Raw_Data!C415)</f>
        <v/>
      </c>
      <c r="D415" s="4">
        <f>PROPER(TRIM(Raw_Data!D415))</f>
        <v/>
      </c>
      <c r="E415" s="4">
        <f>Raw_Data!E415</f>
        <v/>
      </c>
      <c r="F415" s="6">
        <f>ROUND(Raw_Data!F415,2)</f>
        <v/>
      </c>
      <c r="G415" s="4">
        <f>PROPER(TRIM(Raw_Data!G415))</f>
        <v/>
      </c>
      <c r="H415" s="4">
        <f>PROPER(TRIM(Raw_Data!H415))</f>
        <v/>
      </c>
      <c r="I415" s="4">
        <f>PROPER(TRIM(Raw_Data!I415))</f>
        <v/>
      </c>
      <c r="J415" s="4">
        <f>TRIM(Raw_Data!J415)</f>
        <v/>
      </c>
      <c r="K415" s="4">
        <f>Raw_Data!K415</f>
        <v/>
      </c>
      <c r="L415" s="4">
        <f>IF(TRIM(Raw_Data!L415)="","No Coupon",TRIM(Raw_Data!L415))</f>
        <v/>
      </c>
      <c r="M415" s="4">
        <f>PROPER(TRIM(Raw_Data!M415))</f>
        <v/>
      </c>
      <c r="N415" s="6">
        <f>ROUND(Raw_Data!N415,2)</f>
        <v/>
      </c>
      <c r="O415" s="7">
        <f>IF(COUNTIF($A$2:$A$1201,A415)&gt;1,"DUPLICATE","Unique")</f>
        <v/>
      </c>
      <c r="P415" s="7">
        <f>IF(COUNTIF($J$2:$J$1201,J415)&gt;1,"DUPLICATE","Unique")</f>
        <v/>
      </c>
      <c r="Q415" s="4">
        <f>IF(TRIM(Raw_Data!L415)="","Yes","No")</f>
        <v/>
      </c>
      <c r="R415" s="4">
        <f>IF(ISNUMBER(B415),"Valid","INVALID")</f>
        <v/>
      </c>
    </row>
    <row r="416">
      <c r="A416" s="4">
        <f>TRIM(Raw_Data!A416)</f>
        <v/>
      </c>
      <c r="B416" s="5">
        <f>Raw_Data!B416</f>
        <v/>
      </c>
      <c r="C416" s="4">
        <f>TRIM(Raw_Data!C416)</f>
        <v/>
      </c>
      <c r="D416" s="4">
        <f>PROPER(TRIM(Raw_Data!D416))</f>
        <v/>
      </c>
      <c r="E416" s="4">
        <f>Raw_Data!E416</f>
        <v/>
      </c>
      <c r="F416" s="6">
        <f>ROUND(Raw_Data!F416,2)</f>
        <v/>
      </c>
      <c r="G416" s="4">
        <f>PROPER(TRIM(Raw_Data!G416))</f>
        <v/>
      </c>
      <c r="H416" s="4">
        <f>PROPER(TRIM(Raw_Data!H416))</f>
        <v/>
      </c>
      <c r="I416" s="4">
        <f>PROPER(TRIM(Raw_Data!I416))</f>
        <v/>
      </c>
      <c r="J416" s="4">
        <f>TRIM(Raw_Data!J416)</f>
        <v/>
      </c>
      <c r="K416" s="4">
        <f>Raw_Data!K416</f>
        <v/>
      </c>
      <c r="L416" s="4">
        <f>IF(TRIM(Raw_Data!L416)="","No Coupon",TRIM(Raw_Data!L416))</f>
        <v/>
      </c>
      <c r="M416" s="4">
        <f>PROPER(TRIM(Raw_Data!M416))</f>
        <v/>
      </c>
      <c r="N416" s="6">
        <f>ROUND(Raw_Data!N416,2)</f>
        <v/>
      </c>
      <c r="O416" s="7">
        <f>IF(COUNTIF($A$2:$A$1201,A416)&gt;1,"DUPLICATE","Unique")</f>
        <v/>
      </c>
      <c r="P416" s="7">
        <f>IF(COUNTIF($J$2:$J$1201,J416)&gt;1,"DUPLICATE","Unique")</f>
        <v/>
      </c>
      <c r="Q416" s="4">
        <f>IF(TRIM(Raw_Data!L416)="","Yes","No")</f>
        <v/>
      </c>
      <c r="R416" s="4">
        <f>IF(ISNUMBER(B416),"Valid","INVALID")</f>
        <v/>
      </c>
    </row>
    <row r="417">
      <c r="A417" s="4">
        <f>TRIM(Raw_Data!A417)</f>
        <v/>
      </c>
      <c r="B417" s="5">
        <f>Raw_Data!B417</f>
        <v/>
      </c>
      <c r="C417" s="4">
        <f>TRIM(Raw_Data!C417)</f>
        <v/>
      </c>
      <c r="D417" s="4">
        <f>PROPER(TRIM(Raw_Data!D417))</f>
        <v/>
      </c>
      <c r="E417" s="4">
        <f>Raw_Data!E417</f>
        <v/>
      </c>
      <c r="F417" s="6">
        <f>ROUND(Raw_Data!F417,2)</f>
        <v/>
      </c>
      <c r="G417" s="4">
        <f>PROPER(TRIM(Raw_Data!G417))</f>
        <v/>
      </c>
      <c r="H417" s="4">
        <f>PROPER(TRIM(Raw_Data!H417))</f>
        <v/>
      </c>
      <c r="I417" s="4">
        <f>PROPER(TRIM(Raw_Data!I417))</f>
        <v/>
      </c>
      <c r="J417" s="4">
        <f>TRIM(Raw_Data!J417)</f>
        <v/>
      </c>
      <c r="K417" s="4">
        <f>Raw_Data!K417</f>
        <v/>
      </c>
      <c r="L417" s="4">
        <f>IF(TRIM(Raw_Data!L417)="","No Coupon",TRIM(Raw_Data!L417))</f>
        <v/>
      </c>
      <c r="M417" s="4">
        <f>PROPER(TRIM(Raw_Data!M417))</f>
        <v/>
      </c>
      <c r="N417" s="6">
        <f>ROUND(Raw_Data!N417,2)</f>
        <v/>
      </c>
      <c r="O417" s="7">
        <f>IF(COUNTIF($A$2:$A$1201,A417)&gt;1,"DUPLICATE","Unique")</f>
        <v/>
      </c>
      <c r="P417" s="7">
        <f>IF(COUNTIF($J$2:$J$1201,J417)&gt;1,"DUPLICATE","Unique")</f>
        <v/>
      </c>
      <c r="Q417" s="4">
        <f>IF(TRIM(Raw_Data!L417)="","Yes","No")</f>
        <v/>
      </c>
      <c r="R417" s="4">
        <f>IF(ISNUMBER(B417),"Valid","INVALID")</f>
        <v/>
      </c>
    </row>
    <row r="418">
      <c r="A418" s="4">
        <f>TRIM(Raw_Data!A418)</f>
        <v/>
      </c>
      <c r="B418" s="5">
        <f>Raw_Data!B418</f>
        <v/>
      </c>
      <c r="C418" s="4">
        <f>TRIM(Raw_Data!C418)</f>
        <v/>
      </c>
      <c r="D418" s="4">
        <f>PROPER(TRIM(Raw_Data!D418))</f>
        <v/>
      </c>
      <c r="E418" s="4">
        <f>Raw_Data!E418</f>
        <v/>
      </c>
      <c r="F418" s="6">
        <f>ROUND(Raw_Data!F418,2)</f>
        <v/>
      </c>
      <c r="G418" s="4">
        <f>PROPER(TRIM(Raw_Data!G418))</f>
        <v/>
      </c>
      <c r="H418" s="4">
        <f>PROPER(TRIM(Raw_Data!H418))</f>
        <v/>
      </c>
      <c r="I418" s="4">
        <f>PROPER(TRIM(Raw_Data!I418))</f>
        <v/>
      </c>
      <c r="J418" s="4">
        <f>TRIM(Raw_Data!J418)</f>
        <v/>
      </c>
      <c r="K418" s="4">
        <f>Raw_Data!K418</f>
        <v/>
      </c>
      <c r="L418" s="4">
        <f>IF(TRIM(Raw_Data!L418)="","No Coupon",TRIM(Raw_Data!L418))</f>
        <v/>
      </c>
      <c r="M418" s="4">
        <f>PROPER(TRIM(Raw_Data!M418))</f>
        <v/>
      </c>
      <c r="N418" s="6">
        <f>ROUND(Raw_Data!N418,2)</f>
        <v/>
      </c>
      <c r="O418" s="7">
        <f>IF(COUNTIF($A$2:$A$1201,A418)&gt;1,"DUPLICATE","Unique")</f>
        <v/>
      </c>
      <c r="P418" s="7">
        <f>IF(COUNTIF($J$2:$J$1201,J418)&gt;1,"DUPLICATE","Unique")</f>
        <v/>
      </c>
      <c r="Q418" s="4">
        <f>IF(TRIM(Raw_Data!L418)="","Yes","No")</f>
        <v/>
      </c>
      <c r="R418" s="4">
        <f>IF(ISNUMBER(B418),"Valid","INVALID")</f>
        <v/>
      </c>
    </row>
    <row r="419">
      <c r="A419" s="4">
        <f>TRIM(Raw_Data!A419)</f>
        <v/>
      </c>
      <c r="B419" s="5">
        <f>Raw_Data!B419</f>
        <v/>
      </c>
      <c r="C419" s="4">
        <f>TRIM(Raw_Data!C419)</f>
        <v/>
      </c>
      <c r="D419" s="4">
        <f>PROPER(TRIM(Raw_Data!D419))</f>
        <v/>
      </c>
      <c r="E419" s="4">
        <f>Raw_Data!E419</f>
        <v/>
      </c>
      <c r="F419" s="6">
        <f>ROUND(Raw_Data!F419,2)</f>
        <v/>
      </c>
      <c r="G419" s="4">
        <f>PROPER(TRIM(Raw_Data!G419))</f>
        <v/>
      </c>
      <c r="H419" s="4">
        <f>PROPER(TRIM(Raw_Data!H419))</f>
        <v/>
      </c>
      <c r="I419" s="4">
        <f>PROPER(TRIM(Raw_Data!I419))</f>
        <v/>
      </c>
      <c r="J419" s="4">
        <f>TRIM(Raw_Data!J419)</f>
        <v/>
      </c>
      <c r="K419" s="4">
        <f>Raw_Data!K419</f>
        <v/>
      </c>
      <c r="L419" s="4">
        <f>IF(TRIM(Raw_Data!L419)="","No Coupon",TRIM(Raw_Data!L419))</f>
        <v/>
      </c>
      <c r="M419" s="4">
        <f>PROPER(TRIM(Raw_Data!M419))</f>
        <v/>
      </c>
      <c r="N419" s="6">
        <f>ROUND(Raw_Data!N419,2)</f>
        <v/>
      </c>
      <c r="O419" s="7">
        <f>IF(COUNTIF($A$2:$A$1201,A419)&gt;1,"DUPLICATE","Unique")</f>
        <v/>
      </c>
      <c r="P419" s="7">
        <f>IF(COUNTIF($J$2:$J$1201,J419)&gt;1,"DUPLICATE","Unique")</f>
        <v/>
      </c>
      <c r="Q419" s="4">
        <f>IF(TRIM(Raw_Data!L419)="","Yes","No")</f>
        <v/>
      </c>
      <c r="R419" s="4">
        <f>IF(ISNUMBER(B419),"Valid","INVALID")</f>
        <v/>
      </c>
    </row>
    <row r="420">
      <c r="A420" s="4">
        <f>TRIM(Raw_Data!A420)</f>
        <v/>
      </c>
      <c r="B420" s="5">
        <f>Raw_Data!B420</f>
        <v/>
      </c>
      <c r="C420" s="4">
        <f>TRIM(Raw_Data!C420)</f>
        <v/>
      </c>
      <c r="D420" s="4">
        <f>PROPER(TRIM(Raw_Data!D420))</f>
        <v/>
      </c>
      <c r="E420" s="4">
        <f>Raw_Data!E420</f>
        <v/>
      </c>
      <c r="F420" s="6">
        <f>ROUND(Raw_Data!F420,2)</f>
        <v/>
      </c>
      <c r="G420" s="4">
        <f>PROPER(TRIM(Raw_Data!G420))</f>
        <v/>
      </c>
      <c r="H420" s="4">
        <f>PROPER(TRIM(Raw_Data!H420))</f>
        <v/>
      </c>
      <c r="I420" s="4">
        <f>PROPER(TRIM(Raw_Data!I420))</f>
        <v/>
      </c>
      <c r="J420" s="4">
        <f>TRIM(Raw_Data!J420)</f>
        <v/>
      </c>
      <c r="K420" s="4">
        <f>Raw_Data!K420</f>
        <v/>
      </c>
      <c r="L420" s="4">
        <f>IF(TRIM(Raw_Data!L420)="","No Coupon",TRIM(Raw_Data!L420))</f>
        <v/>
      </c>
      <c r="M420" s="4">
        <f>PROPER(TRIM(Raw_Data!M420))</f>
        <v/>
      </c>
      <c r="N420" s="6">
        <f>ROUND(Raw_Data!N420,2)</f>
        <v/>
      </c>
      <c r="O420" s="7">
        <f>IF(COUNTIF($A$2:$A$1201,A420)&gt;1,"DUPLICATE","Unique")</f>
        <v/>
      </c>
      <c r="P420" s="7">
        <f>IF(COUNTIF($J$2:$J$1201,J420)&gt;1,"DUPLICATE","Unique")</f>
        <v/>
      </c>
      <c r="Q420" s="4">
        <f>IF(TRIM(Raw_Data!L420)="","Yes","No")</f>
        <v/>
      </c>
      <c r="R420" s="4">
        <f>IF(ISNUMBER(B420),"Valid","INVALID")</f>
        <v/>
      </c>
    </row>
    <row r="421">
      <c r="A421" s="4">
        <f>TRIM(Raw_Data!A421)</f>
        <v/>
      </c>
      <c r="B421" s="5">
        <f>Raw_Data!B421</f>
        <v/>
      </c>
      <c r="C421" s="4">
        <f>TRIM(Raw_Data!C421)</f>
        <v/>
      </c>
      <c r="D421" s="4">
        <f>PROPER(TRIM(Raw_Data!D421))</f>
        <v/>
      </c>
      <c r="E421" s="4">
        <f>Raw_Data!E421</f>
        <v/>
      </c>
      <c r="F421" s="6">
        <f>ROUND(Raw_Data!F421,2)</f>
        <v/>
      </c>
      <c r="G421" s="4">
        <f>PROPER(TRIM(Raw_Data!G421))</f>
        <v/>
      </c>
      <c r="H421" s="4">
        <f>PROPER(TRIM(Raw_Data!H421))</f>
        <v/>
      </c>
      <c r="I421" s="4">
        <f>PROPER(TRIM(Raw_Data!I421))</f>
        <v/>
      </c>
      <c r="J421" s="4">
        <f>TRIM(Raw_Data!J421)</f>
        <v/>
      </c>
      <c r="K421" s="4">
        <f>Raw_Data!K421</f>
        <v/>
      </c>
      <c r="L421" s="4">
        <f>IF(TRIM(Raw_Data!L421)="","No Coupon",TRIM(Raw_Data!L421))</f>
        <v/>
      </c>
      <c r="M421" s="4">
        <f>PROPER(TRIM(Raw_Data!M421))</f>
        <v/>
      </c>
      <c r="N421" s="6">
        <f>ROUND(Raw_Data!N421,2)</f>
        <v/>
      </c>
      <c r="O421" s="7">
        <f>IF(COUNTIF($A$2:$A$1201,A421)&gt;1,"DUPLICATE","Unique")</f>
        <v/>
      </c>
      <c r="P421" s="7">
        <f>IF(COUNTIF($J$2:$J$1201,J421)&gt;1,"DUPLICATE","Unique")</f>
        <v/>
      </c>
      <c r="Q421" s="4">
        <f>IF(TRIM(Raw_Data!L421)="","Yes","No")</f>
        <v/>
      </c>
      <c r="R421" s="4">
        <f>IF(ISNUMBER(B421),"Valid","INVALID")</f>
        <v/>
      </c>
    </row>
    <row r="422">
      <c r="A422" s="4">
        <f>TRIM(Raw_Data!A422)</f>
        <v/>
      </c>
      <c r="B422" s="5">
        <f>Raw_Data!B422</f>
        <v/>
      </c>
      <c r="C422" s="4">
        <f>TRIM(Raw_Data!C422)</f>
        <v/>
      </c>
      <c r="D422" s="4">
        <f>PROPER(TRIM(Raw_Data!D422))</f>
        <v/>
      </c>
      <c r="E422" s="4">
        <f>Raw_Data!E422</f>
        <v/>
      </c>
      <c r="F422" s="6">
        <f>ROUND(Raw_Data!F422,2)</f>
        <v/>
      </c>
      <c r="G422" s="4">
        <f>PROPER(TRIM(Raw_Data!G422))</f>
        <v/>
      </c>
      <c r="H422" s="4">
        <f>PROPER(TRIM(Raw_Data!H422))</f>
        <v/>
      </c>
      <c r="I422" s="4">
        <f>PROPER(TRIM(Raw_Data!I422))</f>
        <v/>
      </c>
      <c r="J422" s="4">
        <f>TRIM(Raw_Data!J422)</f>
        <v/>
      </c>
      <c r="K422" s="4">
        <f>Raw_Data!K422</f>
        <v/>
      </c>
      <c r="L422" s="4">
        <f>IF(TRIM(Raw_Data!L422)="","No Coupon",TRIM(Raw_Data!L422))</f>
        <v/>
      </c>
      <c r="M422" s="4">
        <f>PROPER(TRIM(Raw_Data!M422))</f>
        <v/>
      </c>
      <c r="N422" s="6">
        <f>ROUND(Raw_Data!N422,2)</f>
        <v/>
      </c>
      <c r="O422" s="7">
        <f>IF(COUNTIF($A$2:$A$1201,A422)&gt;1,"DUPLICATE","Unique")</f>
        <v/>
      </c>
      <c r="P422" s="7">
        <f>IF(COUNTIF($J$2:$J$1201,J422)&gt;1,"DUPLICATE","Unique")</f>
        <v/>
      </c>
      <c r="Q422" s="4">
        <f>IF(TRIM(Raw_Data!L422)="","Yes","No")</f>
        <v/>
      </c>
      <c r="R422" s="4">
        <f>IF(ISNUMBER(B422),"Valid","INVALID")</f>
        <v/>
      </c>
    </row>
    <row r="423">
      <c r="A423" s="4">
        <f>TRIM(Raw_Data!A423)</f>
        <v/>
      </c>
      <c r="B423" s="5">
        <f>Raw_Data!B423</f>
        <v/>
      </c>
      <c r="C423" s="4">
        <f>TRIM(Raw_Data!C423)</f>
        <v/>
      </c>
      <c r="D423" s="4">
        <f>PROPER(TRIM(Raw_Data!D423))</f>
        <v/>
      </c>
      <c r="E423" s="4">
        <f>Raw_Data!E423</f>
        <v/>
      </c>
      <c r="F423" s="6">
        <f>ROUND(Raw_Data!F423,2)</f>
        <v/>
      </c>
      <c r="G423" s="4">
        <f>PROPER(TRIM(Raw_Data!G423))</f>
        <v/>
      </c>
      <c r="H423" s="4">
        <f>PROPER(TRIM(Raw_Data!H423))</f>
        <v/>
      </c>
      <c r="I423" s="4">
        <f>PROPER(TRIM(Raw_Data!I423))</f>
        <v/>
      </c>
      <c r="J423" s="4">
        <f>TRIM(Raw_Data!J423)</f>
        <v/>
      </c>
      <c r="K423" s="4">
        <f>Raw_Data!K423</f>
        <v/>
      </c>
      <c r="L423" s="4">
        <f>IF(TRIM(Raw_Data!L423)="","No Coupon",TRIM(Raw_Data!L423))</f>
        <v/>
      </c>
      <c r="M423" s="4">
        <f>PROPER(TRIM(Raw_Data!M423))</f>
        <v/>
      </c>
      <c r="N423" s="6">
        <f>ROUND(Raw_Data!N423,2)</f>
        <v/>
      </c>
      <c r="O423" s="7">
        <f>IF(COUNTIF($A$2:$A$1201,A423)&gt;1,"DUPLICATE","Unique")</f>
        <v/>
      </c>
      <c r="P423" s="7">
        <f>IF(COUNTIF($J$2:$J$1201,J423)&gt;1,"DUPLICATE","Unique")</f>
        <v/>
      </c>
      <c r="Q423" s="4">
        <f>IF(TRIM(Raw_Data!L423)="","Yes","No")</f>
        <v/>
      </c>
      <c r="R423" s="4">
        <f>IF(ISNUMBER(B423),"Valid","INVALID")</f>
        <v/>
      </c>
    </row>
    <row r="424">
      <c r="A424" s="4">
        <f>TRIM(Raw_Data!A424)</f>
        <v/>
      </c>
      <c r="B424" s="5">
        <f>Raw_Data!B424</f>
        <v/>
      </c>
      <c r="C424" s="4">
        <f>TRIM(Raw_Data!C424)</f>
        <v/>
      </c>
      <c r="D424" s="4">
        <f>PROPER(TRIM(Raw_Data!D424))</f>
        <v/>
      </c>
      <c r="E424" s="4">
        <f>Raw_Data!E424</f>
        <v/>
      </c>
      <c r="F424" s="6">
        <f>ROUND(Raw_Data!F424,2)</f>
        <v/>
      </c>
      <c r="G424" s="4">
        <f>PROPER(TRIM(Raw_Data!G424))</f>
        <v/>
      </c>
      <c r="H424" s="4">
        <f>PROPER(TRIM(Raw_Data!H424))</f>
        <v/>
      </c>
      <c r="I424" s="4">
        <f>PROPER(TRIM(Raw_Data!I424))</f>
        <v/>
      </c>
      <c r="J424" s="4">
        <f>TRIM(Raw_Data!J424)</f>
        <v/>
      </c>
      <c r="K424" s="4">
        <f>Raw_Data!K424</f>
        <v/>
      </c>
      <c r="L424" s="4">
        <f>IF(TRIM(Raw_Data!L424)="","No Coupon",TRIM(Raw_Data!L424))</f>
        <v/>
      </c>
      <c r="M424" s="4">
        <f>PROPER(TRIM(Raw_Data!M424))</f>
        <v/>
      </c>
      <c r="N424" s="6">
        <f>ROUND(Raw_Data!N424,2)</f>
        <v/>
      </c>
      <c r="O424" s="7">
        <f>IF(COUNTIF($A$2:$A$1201,A424)&gt;1,"DUPLICATE","Unique")</f>
        <v/>
      </c>
      <c r="P424" s="7">
        <f>IF(COUNTIF($J$2:$J$1201,J424)&gt;1,"DUPLICATE","Unique")</f>
        <v/>
      </c>
      <c r="Q424" s="4">
        <f>IF(TRIM(Raw_Data!L424)="","Yes","No")</f>
        <v/>
      </c>
      <c r="R424" s="4">
        <f>IF(ISNUMBER(B424),"Valid","INVALID")</f>
        <v/>
      </c>
    </row>
    <row r="425">
      <c r="A425" s="4">
        <f>TRIM(Raw_Data!A425)</f>
        <v/>
      </c>
      <c r="B425" s="5">
        <f>Raw_Data!B425</f>
        <v/>
      </c>
      <c r="C425" s="4">
        <f>TRIM(Raw_Data!C425)</f>
        <v/>
      </c>
      <c r="D425" s="4">
        <f>PROPER(TRIM(Raw_Data!D425))</f>
        <v/>
      </c>
      <c r="E425" s="4">
        <f>Raw_Data!E425</f>
        <v/>
      </c>
      <c r="F425" s="6">
        <f>ROUND(Raw_Data!F425,2)</f>
        <v/>
      </c>
      <c r="G425" s="4">
        <f>PROPER(TRIM(Raw_Data!G425))</f>
        <v/>
      </c>
      <c r="H425" s="4">
        <f>PROPER(TRIM(Raw_Data!H425))</f>
        <v/>
      </c>
      <c r="I425" s="4">
        <f>PROPER(TRIM(Raw_Data!I425))</f>
        <v/>
      </c>
      <c r="J425" s="4">
        <f>TRIM(Raw_Data!J425)</f>
        <v/>
      </c>
      <c r="K425" s="4">
        <f>Raw_Data!K425</f>
        <v/>
      </c>
      <c r="L425" s="4">
        <f>IF(TRIM(Raw_Data!L425)="","No Coupon",TRIM(Raw_Data!L425))</f>
        <v/>
      </c>
      <c r="M425" s="4">
        <f>PROPER(TRIM(Raw_Data!M425))</f>
        <v/>
      </c>
      <c r="N425" s="6">
        <f>ROUND(Raw_Data!N425,2)</f>
        <v/>
      </c>
      <c r="O425" s="7">
        <f>IF(COUNTIF($A$2:$A$1201,A425)&gt;1,"DUPLICATE","Unique")</f>
        <v/>
      </c>
      <c r="P425" s="7">
        <f>IF(COUNTIF($J$2:$J$1201,J425)&gt;1,"DUPLICATE","Unique")</f>
        <v/>
      </c>
      <c r="Q425" s="4">
        <f>IF(TRIM(Raw_Data!L425)="","Yes","No")</f>
        <v/>
      </c>
      <c r="R425" s="4">
        <f>IF(ISNUMBER(B425),"Valid","INVALID")</f>
        <v/>
      </c>
    </row>
    <row r="426">
      <c r="A426" s="4">
        <f>TRIM(Raw_Data!A426)</f>
        <v/>
      </c>
      <c r="B426" s="5">
        <f>Raw_Data!B426</f>
        <v/>
      </c>
      <c r="C426" s="4">
        <f>TRIM(Raw_Data!C426)</f>
        <v/>
      </c>
      <c r="D426" s="4">
        <f>PROPER(TRIM(Raw_Data!D426))</f>
        <v/>
      </c>
      <c r="E426" s="4">
        <f>Raw_Data!E426</f>
        <v/>
      </c>
      <c r="F426" s="6">
        <f>ROUND(Raw_Data!F426,2)</f>
        <v/>
      </c>
      <c r="G426" s="4">
        <f>PROPER(TRIM(Raw_Data!G426))</f>
        <v/>
      </c>
      <c r="H426" s="4">
        <f>PROPER(TRIM(Raw_Data!H426))</f>
        <v/>
      </c>
      <c r="I426" s="4">
        <f>PROPER(TRIM(Raw_Data!I426))</f>
        <v/>
      </c>
      <c r="J426" s="4">
        <f>TRIM(Raw_Data!J426)</f>
        <v/>
      </c>
      <c r="K426" s="4">
        <f>Raw_Data!K426</f>
        <v/>
      </c>
      <c r="L426" s="4">
        <f>IF(TRIM(Raw_Data!L426)="","No Coupon",TRIM(Raw_Data!L426))</f>
        <v/>
      </c>
      <c r="M426" s="4">
        <f>PROPER(TRIM(Raw_Data!M426))</f>
        <v/>
      </c>
      <c r="N426" s="6">
        <f>ROUND(Raw_Data!N426,2)</f>
        <v/>
      </c>
      <c r="O426" s="7">
        <f>IF(COUNTIF($A$2:$A$1201,A426)&gt;1,"DUPLICATE","Unique")</f>
        <v/>
      </c>
      <c r="P426" s="7">
        <f>IF(COUNTIF($J$2:$J$1201,J426)&gt;1,"DUPLICATE","Unique")</f>
        <v/>
      </c>
      <c r="Q426" s="4">
        <f>IF(TRIM(Raw_Data!L426)="","Yes","No")</f>
        <v/>
      </c>
      <c r="R426" s="4">
        <f>IF(ISNUMBER(B426),"Valid","INVALID")</f>
        <v/>
      </c>
    </row>
    <row r="427">
      <c r="A427" s="4">
        <f>TRIM(Raw_Data!A427)</f>
        <v/>
      </c>
      <c r="B427" s="5">
        <f>Raw_Data!B427</f>
        <v/>
      </c>
      <c r="C427" s="4">
        <f>TRIM(Raw_Data!C427)</f>
        <v/>
      </c>
      <c r="D427" s="4">
        <f>PROPER(TRIM(Raw_Data!D427))</f>
        <v/>
      </c>
      <c r="E427" s="4">
        <f>Raw_Data!E427</f>
        <v/>
      </c>
      <c r="F427" s="6">
        <f>ROUND(Raw_Data!F427,2)</f>
        <v/>
      </c>
      <c r="G427" s="4">
        <f>PROPER(TRIM(Raw_Data!G427))</f>
        <v/>
      </c>
      <c r="H427" s="4">
        <f>PROPER(TRIM(Raw_Data!H427))</f>
        <v/>
      </c>
      <c r="I427" s="4">
        <f>PROPER(TRIM(Raw_Data!I427))</f>
        <v/>
      </c>
      <c r="J427" s="4">
        <f>TRIM(Raw_Data!J427)</f>
        <v/>
      </c>
      <c r="K427" s="4">
        <f>Raw_Data!K427</f>
        <v/>
      </c>
      <c r="L427" s="4">
        <f>IF(TRIM(Raw_Data!L427)="","No Coupon",TRIM(Raw_Data!L427))</f>
        <v/>
      </c>
      <c r="M427" s="4">
        <f>PROPER(TRIM(Raw_Data!M427))</f>
        <v/>
      </c>
      <c r="N427" s="6">
        <f>ROUND(Raw_Data!N427,2)</f>
        <v/>
      </c>
      <c r="O427" s="7">
        <f>IF(COUNTIF($A$2:$A$1201,A427)&gt;1,"DUPLICATE","Unique")</f>
        <v/>
      </c>
      <c r="P427" s="7">
        <f>IF(COUNTIF($J$2:$J$1201,J427)&gt;1,"DUPLICATE","Unique")</f>
        <v/>
      </c>
      <c r="Q427" s="4">
        <f>IF(TRIM(Raw_Data!L427)="","Yes","No")</f>
        <v/>
      </c>
      <c r="R427" s="4">
        <f>IF(ISNUMBER(B427),"Valid","INVALID")</f>
        <v/>
      </c>
    </row>
    <row r="428">
      <c r="A428" s="4">
        <f>TRIM(Raw_Data!A428)</f>
        <v/>
      </c>
      <c r="B428" s="5">
        <f>Raw_Data!B428</f>
        <v/>
      </c>
      <c r="C428" s="4">
        <f>TRIM(Raw_Data!C428)</f>
        <v/>
      </c>
      <c r="D428" s="4">
        <f>PROPER(TRIM(Raw_Data!D428))</f>
        <v/>
      </c>
      <c r="E428" s="4">
        <f>Raw_Data!E428</f>
        <v/>
      </c>
      <c r="F428" s="6">
        <f>ROUND(Raw_Data!F428,2)</f>
        <v/>
      </c>
      <c r="G428" s="4">
        <f>PROPER(TRIM(Raw_Data!G428))</f>
        <v/>
      </c>
      <c r="H428" s="4">
        <f>PROPER(TRIM(Raw_Data!H428))</f>
        <v/>
      </c>
      <c r="I428" s="4">
        <f>PROPER(TRIM(Raw_Data!I428))</f>
        <v/>
      </c>
      <c r="J428" s="4">
        <f>TRIM(Raw_Data!J428)</f>
        <v/>
      </c>
      <c r="K428" s="4">
        <f>Raw_Data!K428</f>
        <v/>
      </c>
      <c r="L428" s="4">
        <f>IF(TRIM(Raw_Data!L428)="","No Coupon",TRIM(Raw_Data!L428))</f>
        <v/>
      </c>
      <c r="M428" s="4">
        <f>PROPER(TRIM(Raw_Data!M428))</f>
        <v/>
      </c>
      <c r="N428" s="6">
        <f>ROUND(Raw_Data!N428,2)</f>
        <v/>
      </c>
      <c r="O428" s="7">
        <f>IF(COUNTIF($A$2:$A$1201,A428)&gt;1,"DUPLICATE","Unique")</f>
        <v/>
      </c>
      <c r="P428" s="7">
        <f>IF(COUNTIF($J$2:$J$1201,J428)&gt;1,"DUPLICATE","Unique")</f>
        <v/>
      </c>
      <c r="Q428" s="4">
        <f>IF(TRIM(Raw_Data!L428)="","Yes","No")</f>
        <v/>
      </c>
      <c r="R428" s="4">
        <f>IF(ISNUMBER(B428),"Valid","INVALID")</f>
        <v/>
      </c>
    </row>
    <row r="429">
      <c r="A429" s="4">
        <f>TRIM(Raw_Data!A429)</f>
        <v/>
      </c>
      <c r="B429" s="5">
        <f>Raw_Data!B429</f>
        <v/>
      </c>
      <c r="C429" s="4">
        <f>TRIM(Raw_Data!C429)</f>
        <v/>
      </c>
      <c r="D429" s="4">
        <f>PROPER(TRIM(Raw_Data!D429))</f>
        <v/>
      </c>
      <c r="E429" s="4">
        <f>Raw_Data!E429</f>
        <v/>
      </c>
      <c r="F429" s="6">
        <f>ROUND(Raw_Data!F429,2)</f>
        <v/>
      </c>
      <c r="G429" s="4">
        <f>PROPER(TRIM(Raw_Data!G429))</f>
        <v/>
      </c>
      <c r="H429" s="4">
        <f>PROPER(TRIM(Raw_Data!H429))</f>
        <v/>
      </c>
      <c r="I429" s="4">
        <f>PROPER(TRIM(Raw_Data!I429))</f>
        <v/>
      </c>
      <c r="J429" s="4">
        <f>TRIM(Raw_Data!J429)</f>
        <v/>
      </c>
      <c r="K429" s="4">
        <f>Raw_Data!K429</f>
        <v/>
      </c>
      <c r="L429" s="4">
        <f>IF(TRIM(Raw_Data!L429)="","No Coupon",TRIM(Raw_Data!L429))</f>
        <v/>
      </c>
      <c r="M429" s="4">
        <f>PROPER(TRIM(Raw_Data!M429))</f>
        <v/>
      </c>
      <c r="N429" s="6">
        <f>ROUND(Raw_Data!N429,2)</f>
        <v/>
      </c>
      <c r="O429" s="7">
        <f>IF(COUNTIF($A$2:$A$1201,A429)&gt;1,"DUPLICATE","Unique")</f>
        <v/>
      </c>
      <c r="P429" s="7">
        <f>IF(COUNTIF($J$2:$J$1201,J429)&gt;1,"DUPLICATE","Unique")</f>
        <v/>
      </c>
      <c r="Q429" s="4">
        <f>IF(TRIM(Raw_Data!L429)="","Yes","No")</f>
        <v/>
      </c>
      <c r="R429" s="4">
        <f>IF(ISNUMBER(B429),"Valid","INVALID")</f>
        <v/>
      </c>
    </row>
    <row r="430">
      <c r="A430" s="4">
        <f>TRIM(Raw_Data!A430)</f>
        <v/>
      </c>
      <c r="B430" s="5">
        <f>Raw_Data!B430</f>
        <v/>
      </c>
      <c r="C430" s="4">
        <f>TRIM(Raw_Data!C430)</f>
        <v/>
      </c>
      <c r="D430" s="4">
        <f>PROPER(TRIM(Raw_Data!D430))</f>
        <v/>
      </c>
      <c r="E430" s="4">
        <f>Raw_Data!E430</f>
        <v/>
      </c>
      <c r="F430" s="6">
        <f>ROUND(Raw_Data!F430,2)</f>
        <v/>
      </c>
      <c r="G430" s="4">
        <f>PROPER(TRIM(Raw_Data!G430))</f>
        <v/>
      </c>
      <c r="H430" s="4">
        <f>PROPER(TRIM(Raw_Data!H430))</f>
        <v/>
      </c>
      <c r="I430" s="4">
        <f>PROPER(TRIM(Raw_Data!I430))</f>
        <v/>
      </c>
      <c r="J430" s="4">
        <f>TRIM(Raw_Data!J430)</f>
        <v/>
      </c>
      <c r="K430" s="4">
        <f>Raw_Data!K430</f>
        <v/>
      </c>
      <c r="L430" s="4">
        <f>IF(TRIM(Raw_Data!L430)="","No Coupon",TRIM(Raw_Data!L430))</f>
        <v/>
      </c>
      <c r="M430" s="4">
        <f>PROPER(TRIM(Raw_Data!M430))</f>
        <v/>
      </c>
      <c r="N430" s="6">
        <f>ROUND(Raw_Data!N430,2)</f>
        <v/>
      </c>
      <c r="O430" s="7">
        <f>IF(COUNTIF($A$2:$A$1201,A430)&gt;1,"DUPLICATE","Unique")</f>
        <v/>
      </c>
      <c r="P430" s="7">
        <f>IF(COUNTIF($J$2:$J$1201,J430)&gt;1,"DUPLICATE","Unique")</f>
        <v/>
      </c>
      <c r="Q430" s="4">
        <f>IF(TRIM(Raw_Data!L430)="","Yes","No")</f>
        <v/>
      </c>
      <c r="R430" s="4">
        <f>IF(ISNUMBER(B430),"Valid","INVALID")</f>
        <v/>
      </c>
    </row>
    <row r="431">
      <c r="A431" s="4">
        <f>TRIM(Raw_Data!A431)</f>
        <v/>
      </c>
      <c r="B431" s="5">
        <f>Raw_Data!B431</f>
        <v/>
      </c>
      <c r="C431" s="4">
        <f>TRIM(Raw_Data!C431)</f>
        <v/>
      </c>
      <c r="D431" s="4">
        <f>PROPER(TRIM(Raw_Data!D431))</f>
        <v/>
      </c>
      <c r="E431" s="4">
        <f>Raw_Data!E431</f>
        <v/>
      </c>
      <c r="F431" s="6">
        <f>ROUND(Raw_Data!F431,2)</f>
        <v/>
      </c>
      <c r="G431" s="4">
        <f>PROPER(TRIM(Raw_Data!G431))</f>
        <v/>
      </c>
      <c r="H431" s="4">
        <f>PROPER(TRIM(Raw_Data!H431))</f>
        <v/>
      </c>
      <c r="I431" s="4">
        <f>PROPER(TRIM(Raw_Data!I431))</f>
        <v/>
      </c>
      <c r="J431" s="4">
        <f>TRIM(Raw_Data!J431)</f>
        <v/>
      </c>
      <c r="K431" s="4">
        <f>Raw_Data!K431</f>
        <v/>
      </c>
      <c r="L431" s="4">
        <f>IF(TRIM(Raw_Data!L431)="","No Coupon",TRIM(Raw_Data!L431))</f>
        <v/>
      </c>
      <c r="M431" s="4">
        <f>PROPER(TRIM(Raw_Data!M431))</f>
        <v/>
      </c>
      <c r="N431" s="6">
        <f>ROUND(Raw_Data!N431,2)</f>
        <v/>
      </c>
      <c r="O431" s="7">
        <f>IF(COUNTIF($A$2:$A$1201,A431)&gt;1,"DUPLICATE","Unique")</f>
        <v/>
      </c>
      <c r="P431" s="7">
        <f>IF(COUNTIF($J$2:$J$1201,J431)&gt;1,"DUPLICATE","Unique")</f>
        <v/>
      </c>
      <c r="Q431" s="4">
        <f>IF(TRIM(Raw_Data!L431)="","Yes","No")</f>
        <v/>
      </c>
      <c r="R431" s="4">
        <f>IF(ISNUMBER(B431),"Valid","INVALID")</f>
        <v/>
      </c>
    </row>
    <row r="432">
      <c r="A432" s="4">
        <f>TRIM(Raw_Data!A432)</f>
        <v/>
      </c>
      <c r="B432" s="5">
        <f>Raw_Data!B432</f>
        <v/>
      </c>
      <c r="C432" s="4">
        <f>TRIM(Raw_Data!C432)</f>
        <v/>
      </c>
      <c r="D432" s="4">
        <f>PROPER(TRIM(Raw_Data!D432))</f>
        <v/>
      </c>
      <c r="E432" s="4">
        <f>Raw_Data!E432</f>
        <v/>
      </c>
      <c r="F432" s="6">
        <f>ROUND(Raw_Data!F432,2)</f>
        <v/>
      </c>
      <c r="G432" s="4">
        <f>PROPER(TRIM(Raw_Data!G432))</f>
        <v/>
      </c>
      <c r="H432" s="4">
        <f>PROPER(TRIM(Raw_Data!H432))</f>
        <v/>
      </c>
      <c r="I432" s="4">
        <f>PROPER(TRIM(Raw_Data!I432))</f>
        <v/>
      </c>
      <c r="J432" s="4">
        <f>TRIM(Raw_Data!J432)</f>
        <v/>
      </c>
      <c r="K432" s="4">
        <f>Raw_Data!K432</f>
        <v/>
      </c>
      <c r="L432" s="4">
        <f>IF(TRIM(Raw_Data!L432)="","No Coupon",TRIM(Raw_Data!L432))</f>
        <v/>
      </c>
      <c r="M432" s="4">
        <f>PROPER(TRIM(Raw_Data!M432))</f>
        <v/>
      </c>
      <c r="N432" s="6">
        <f>ROUND(Raw_Data!N432,2)</f>
        <v/>
      </c>
      <c r="O432" s="7">
        <f>IF(COUNTIF($A$2:$A$1201,A432)&gt;1,"DUPLICATE","Unique")</f>
        <v/>
      </c>
      <c r="P432" s="7">
        <f>IF(COUNTIF($J$2:$J$1201,J432)&gt;1,"DUPLICATE","Unique")</f>
        <v/>
      </c>
      <c r="Q432" s="4">
        <f>IF(TRIM(Raw_Data!L432)="","Yes","No")</f>
        <v/>
      </c>
      <c r="R432" s="4">
        <f>IF(ISNUMBER(B432),"Valid","INVALID")</f>
        <v/>
      </c>
    </row>
    <row r="433">
      <c r="A433" s="4">
        <f>TRIM(Raw_Data!A433)</f>
        <v/>
      </c>
      <c r="B433" s="5">
        <f>Raw_Data!B433</f>
        <v/>
      </c>
      <c r="C433" s="4">
        <f>TRIM(Raw_Data!C433)</f>
        <v/>
      </c>
      <c r="D433" s="4">
        <f>PROPER(TRIM(Raw_Data!D433))</f>
        <v/>
      </c>
      <c r="E433" s="4">
        <f>Raw_Data!E433</f>
        <v/>
      </c>
      <c r="F433" s="6">
        <f>ROUND(Raw_Data!F433,2)</f>
        <v/>
      </c>
      <c r="G433" s="4">
        <f>PROPER(TRIM(Raw_Data!G433))</f>
        <v/>
      </c>
      <c r="H433" s="4">
        <f>PROPER(TRIM(Raw_Data!H433))</f>
        <v/>
      </c>
      <c r="I433" s="4">
        <f>PROPER(TRIM(Raw_Data!I433))</f>
        <v/>
      </c>
      <c r="J433" s="4">
        <f>TRIM(Raw_Data!J433)</f>
        <v/>
      </c>
      <c r="K433" s="4">
        <f>Raw_Data!K433</f>
        <v/>
      </c>
      <c r="L433" s="4">
        <f>IF(TRIM(Raw_Data!L433)="","No Coupon",TRIM(Raw_Data!L433))</f>
        <v/>
      </c>
      <c r="M433" s="4">
        <f>PROPER(TRIM(Raw_Data!M433))</f>
        <v/>
      </c>
      <c r="N433" s="6">
        <f>ROUND(Raw_Data!N433,2)</f>
        <v/>
      </c>
      <c r="O433" s="7">
        <f>IF(COUNTIF($A$2:$A$1201,A433)&gt;1,"DUPLICATE","Unique")</f>
        <v/>
      </c>
      <c r="P433" s="7">
        <f>IF(COUNTIF($J$2:$J$1201,J433)&gt;1,"DUPLICATE","Unique")</f>
        <v/>
      </c>
      <c r="Q433" s="4">
        <f>IF(TRIM(Raw_Data!L433)="","Yes","No")</f>
        <v/>
      </c>
      <c r="R433" s="4">
        <f>IF(ISNUMBER(B433),"Valid","INVALID")</f>
        <v/>
      </c>
    </row>
    <row r="434">
      <c r="A434" s="4">
        <f>TRIM(Raw_Data!A434)</f>
        <v/>
      </c>
      <c r="B434" s="5">
        <f>Raw_Data!B434</f>
        <v/>
      </c>
      <c r="C434" s="4">
        <f>TRIM(Raw_Data!C434)</f>
        <v/>
      </c>
      <c r="D434" s="4">
        <f>PROPER(TRIM(Raw_Data!D434))</f>
        <v/>
      </c>
      <c r="E434" s="4">
        <f>Raw_Data!E434</f>
        <v/>
      </c>
      <c r="F434" s="6">
        <f>ROUND(Raw_Data!F434,2)</f>
        <v/>
      </c>
      <c r="G434" s="4">
        <f>PROPER(TRIM(Raw_Data!G434))</f>
        <v/>
      </c>
      <c r="H434" s="4">
        <f>PROPER(TRIM(Raw_Data!H434))</f>
        <v/>
      </c>
      <c r="I434" s="4">
        <f>PROPER(TRIM(Raw_Data!I434))</f>
        <v/>
      </c>
      <c r="J434" s="4">
        <f>TRIM(Raw_Data!J434)</f>
        <v/>
      </c>
      <c r="K434" s="4">
        <f>Raw_Data!K434</f>
        <v/>
      </c>
      <c r="L434" s="4">
        <f>IF(TRIM(Raw_Data!L434)="","No Coupon",TRIM(Raw_Data!L434))</f>
        <v/>
      </c>
      <c r="M434" s="4">
        <f>PROPER(TRIM(Raw_Data!M434))</f>
        <v/>
      </c>
      <c r="N434" s="6">
        <f>ROUND(Raw_Data!N434,2)</f>
        <v/>
      </c>
      <c r="O434" s="7">
        <f>IF(COUNTIF($A$2:$A$1201,A434)&gt;1,"DUPLICATE","Unique")</f>
        <v/>
      </c>
      <c r="P434" s="7">
        <f>IF(COUNTIF($J$2:$J$1201,J434)&gt;1,"DUPLICATE","Unique")</f>
        <v/>
      </c>
      <c r="Q434" s="4">
        <f>IF(TRIM(Raw_Data!L434)="","Yes","No")</f>
        <v/>
      </c>
      <c r="R434" s="4">
        <f>IF(ISNUMBER(B434),"Valid","INVALID")</f>
        <v/>
      </c>
    </row>
    <row r="435">
      <c r="A435" s="4">
        <f>TRIM(Raw_Data!A435)</f>
        <v/>
      </c>
      <c r="B435" s="5">
        <f>Raw_Data!B435</f>
        <v/>
      </c>
      <c r="C435" s="4">
        <f>TRIM(Raw_Data!C435)</f>
        <v/>
      </c>
      <c r="D435" s="4">
        <f>PROPER(TRIM(Raw_Data!D435))</f>
        <v/>
      </c>
      <c r="E435" s="4">
        <f>Raw_Data!E435</f>
        <v/>
      </c>
      <c r="F435" s="6">
        <f>ROUND(Raw_Data!F435,2)</f>
        <v/>
      </c>
      <c r="G435" s="4">
        <f>PROPER(TRIM(Raw_Data!G435))</f>
        <v/>
      </c>
      <c r="H435" s="4">
        <f>PROPER(TRIM(Raw_Data!H435))</f>
        <v/>
      </c>
      <c r="I435" s="4">
        <f>PROPER(TRIM(Raw_Data!I435))</f>
        <v/>
      </c>
      <c r="J435" s="4">
        <f>TRIM(Raw_Data!J435)</f>
        <v/>
      </c>
      <c r="K435" s="4">
        <f>Raw_Data!K435</f>
        <v/>
      </c>
      <c r="L435" s="4">
        <f>IF(TRIM(Raw_Data!L435)="","No Coupon",TRIM(Raw_Data!L435))</f>
        <v/>
      </c>
      <c r="M435" s="4">
        <f>PROPER(TRIM(Raw_Data!M435))</f>
        <v/>
      </c>
      <c r="N435" s="6">
        <f>ROUND(Raw_Data!N435,2)</f>
        <v/>
      </c>
      <c r="O435" s="7">
        <f>IF(COUNTIF($A$2:$A$1201,A435)&gt;1,"DUPLICATE","Unique")</f>
        <v/>
      </c>
      <c r="P435" s="7">
        <f>IF(COUNTIF($J$2:$J$1201,J435)&gt;1,"DUPLICATE","Unique")</f>
        <v/>
      </c>
      <c r="Q435" s="4">
        <f>IF(TRIM(Raw_Data!L435)="","Yes","No")</f>
        <v/>
      </c>
      <c r="R435" s="4">
        <f>IF(ISNUMBER(B435),"Valid","INVALID")</f>
        <v/>
      </c>
    </row>
    <row r="436">
      <c r="A436" s="4">
        <f>TRIM(Raw_Data!A436)</f>
        <v/>
      </c>
      <c r="B436" s="5">
        <f>Raw_Data!B436</f>
        <v/>
      </c>
      <c r="C436" s="4">
        <f>TRIM(Raw_Data!C436)</f>
        <v/>
      </c>
      <c r="D436" s="4">
        <f>PROPER(TRIM(Raw_Data!D436))</f>
        <v/>
      </c>
      <c r="E436" s="4">
        <f>Raw_Data!E436</f>
        <v/>
      </c>
      <c r="F436" s="6">
        <f>ROUND(Raw_Data!F436,2)</f>
        <v/>
      </c>
      <c r="G436" s="4">
        <f>PROPER(TRIM(Raw_Data!G436))</f>
        <v/>
      </c>
      <c r="H436" s="4">
        <f>PROPER(TRIM(Raw_Data!H436))</f>
        <v/>
      </c>
      <c r="I436" s="4">
        <f>PROPER(TRIM(Raw_Data!I436))</f>
        <v/>
      </c>
      <c r="J436" s="4">
        <f>TRIM(Raw_Data!J436)</f>
        <v/>
      </c>
      <c r="K436" s="4">
        <f>Raw_Data!K436</f>
        <v/>
      </c>
      <c r="L436" s="4">
        <f>IF(TRIM(Raw_Data!L436)="","No Coupon",TRIM(Raw_Data!L436))</f>
        <v/>
      </c>
      <c r="M436" s="4">
        <f>PROPER(TRIM(Raw_Data!M436))</f>
        <v/>
      </c>
      <c r="N436" s="6">
        <f>ROUND(Raw_Data!N436,2)</f>
        <v/>
      </c>
      <c r="O436" s="7">
        <f>IF(COUNTIF($A$2:$A$1201,A436)&gt;1,"DUPLICATE","Unique")</f>
        <v/>
      </c>
      <c r="P436" s="7">
        <f>IF(COUNTIF($J$2:$J$1201,J436)&gt;1,"DUPLICATE","Unique")</f>
        <v/>
      </c>
      <c r="Q436" s="4">
        <f>IF(TRIM(Raw_Data!L436)="","Yes","No")</f>
        <v/>
      </c>
      <c r="R436" s="4">
        <f>IF(ISNUMBER(B436),"Valid","INVALID")</f>
        <v/>
      </c>
    </row>
    <row r="437">
      <c r="A437" s="4">
        <f>TRIM(Raw_Data!A437)</f>
        <v/>
      </c>
      <c r="B437" s="5">
        <f>Raw_Data!B437</f>
        <v/>
      </c>
      <c r="C437" s="4">
        <f>TRIM(Raw_Data!C437)</f>
        <v/>
      </c>
      <c r="D437" s="4">
        <f>PROPER(TRIM(Raw_Data!D437))</f>
        <v/>
      </c>
      <c r="E437" s="4">
        <f>Raw_Data!E437</f>
        <v/>
      </c>
      <c r="F437" s="6">
        <f>ROUND(Raw_Data!F437,2)</f>
        <v/>
      </c>
      <c r="G437" s="4">
        <f>PROPER(TRIM(Raw_Data!G437))</f>
        <v/>
      </c>
      <c r="H437" s="4">
        <f>PROPER(TRIM(Raw_Data!H437))</f>
        <v/>
      </c>
      <c r="I437" s="4">
        <f>PROPER(TRIM(Raw_Data!I437))</f>
        <v/>
      </c>
      <c r="J437" s="4">
        <f>TRIM(Raw_Data!J437)</f>
        <v/>
      </c>
      <c r="K437" s="4">
        <f>Raw_Data!K437</f>
        <v/>
      </c>
      <c r="L437" s="4">
        <f>IF(TRIM(Raw_Data!L437)="","No Coupon",TRIM(Raw_Data!L437))</f>
        <v/>
      </c>
      <c r="M437" s="4">
        <f>PROPER(TRIM(Raw_Data!M437))</f>
        <v/>
      </c>
      <c r="N437" s="6">
        <f>ROUND(Raw_Data!N437,2)</f>
        <v/>
      </c>
      <c r="O437" s="7">
        <f>IF(COUNTIF($A$2:$A$1201,A437)&gt;1,"DUPLICATE","Unique")</f>
        <v/>
      </c>
      <c r="P437" s="7">
        <f>IF(COUNTIF($J$2:$J$1201,J437)&gt;1,"DUPLICATE","Unique")</f>
        <v/>
      </c>
      <c r="Q437" s="4">
        <f>IF(TRIM(Raw_Data!L437)="","Yes","No")</f>
        <v/>
      </c>
      <c r="R437" s="4">
        <f>IF(ISNUMBER(B437),"Valid","INVALID")</f>
        <v/>
      </c>
    </row>
    <row r="438">
      <c r="A438" s="4">
        <f>TRIM(Raw_Data!A438)</f>
        <v/>
      </c>
      <c r="B438" s="5">
        <f>Raw_Data!B438</f>
        <v/>
      </c>
      <c r="C438" s="4">
        <f>TRIM(Raw_Data!C438)</f>
        <v/>
      </c>
      <c r="D438" s="4">
        <f>PROPER(TRIM(Raw_Data!D438))</f>
        <v/>
      </c>
      <c r="E438" s="4">
        <f>Raw_Data!E438</f>
        <v/>
      </c>
      <c r="F438" s="6">
        <f>ROUND(Raw_Data!F438,2)</f>
        <v/>
      </c>
      <c r="G438" s="4">
        <f>PROPER(TRIM(Raw_Data!G438))</f>
        <v/>
      </c>
      <c r="H438" s="4">
        <f>PROPER(TRIM(Raw_Data!H438))</f>
        <v/>
      </c>
      <c r="I438" s="4">
        <f>PROPER(TRIM(Raw_Data!I438))</f>
        <v/>
      </c>
      <c r="J438" s="4">
        <f>TRIM(Raw_Data!J438)</f>
        <v/>
      </c>
      <c r="K438" s="4">
        <f>Raw_Data!K438</f>
        <v/>
      </c>
      <c r="L438" s="4">
        <f>IF(TRIM(Raw_Data!L438)="","No Coupon",TRIM(Raw_Data!L438))</f>
        <v/>
      </c>
      <c r="M438" s="4">
        <f>PROPER(TRIM(Raw_Data!M438))</f>
        <v/>
      </c>
      <c r="N438" s="6">
        <f>ROUND(Raw_Data!N438,2)</f>
        <v/>
      </c>
      <c r="O438" s="7">
        <f>IF(COUNTIF($A$2:$A$1201,A438)&gt;1,"DUPLICATE","Unique")</f>
        <v/>
      </c>
      <c r="P438" s="7">
        <f>IF(COUNTIF($J$2:$J$1201,J438)&gt;1,"DUPLICATE","Unique")</f>
        <v/>
      </c>
      <c r="Q438" s="4">
        <f>IF(TRIM(Raw_Data!L438)="","Yes","No")</f>
        <v/>
      </c>
      <c r="R438" s="4">
        <f>IF(ISNUMBER(B438),"Valid","INVALID")</f>
        <v/>
      </c>
    </row>
    <row r="439">
      <c r="A439" s="4">
        <f>TRIM(Raw_Data!A439)</f>
        <v/>
      </c>
      <c r="B439" s="5">
        <f>Raw_Data!B439</f>
        <v/>
      </c>
      <c r="C439" s="4">
        <f>TRIM(Raw_Data!C439)</f>
        <v/>
      </c>
      <c r="D439" s="4">
        <f>PROPER(TRIM(Raw_Data!D439))</f>
        <v/>
      </c>
      <c r="E439" s="4">
        <f>Raw_Data!E439</f>
        <v/>
      </c>
      <c r="F439" s="6">
        <f>ROUND(Raw_Data!F439,2)</f>
        <v/>
      </c>
      <c r="G439" s="4">
        <f>PROPER(TRIM(Raw_Data!G439))</f>
        <v/>
      </c>
      <c r="H439" s="4">
        <f>PROPER(TRIM(Raw_Data!H439))</f>
        <v/>
      </c>
      <c r="I439" s="4">
        <f>PROPER(TRIM(Raw_Data!I439))</f>
        <v/>
      </c>
      <c r="J439" s="4">
        <f>TRIM(Raw_Data!J439)</f>
        <v/>
      </c>
      <c r="K439" s="4">
        <f>Raw_Data!K439</f>
        <v/>
      </c>
      <c r="L439" s="4">
        <f>IF(TRIM(Raw_Data!L439)="","No Coupon",TRIM(Raw_Data!L439))</f>
        <v/>
      </c>
      <c r="M439" s="4">
        <f>PROPER(TRIM(Raw_Data!M439))</f>
        <v/>
      </c>
      <c r="N439" s="6">
        <f>ROUND(Raw_Data!N439,2)</f>
        <v/>
      </c>
      <c r="O439" s="7">
        <f>IF(COUNTIF($A$2:$A$1201,A439)&gt;1,"DUPLICATE","Unique")</f>
        <v/>
      </c>
      <c r="P439" s="7">
        <f>IF(COUNTIF($J$2:$J$1201,J439)&gt;1,"DUPLICATE","Unique")</f>
        <v/>
      </c>
      <c r="Q439" s="4">
        <f>IF(TRIM(Raw_Data!L439)="","Yes","No")</f>
        <v/>
      </c>
      <c r="R439" s="4">
        <f>IF(ISNUMBER(B439),"Valid","INVALID")</f>
        <v/>
      </c>
    </row>
    <row r="440">
      <c r="A440" s="4">
        <f>TRIM(Raw_Data!A440)</f>
        <v/>
      </c>
      <c r="B440" s="5">
        <f>Raw_Data!B440</f>
        <v/>
      </c>
      <c r="C440" s="4">
        <f>TRIM(Raw_Data!C440)</f>
        <v/>
      </c>
      <c r="D440" s="4">
        <f>PROPER(TRIM(Raw_Data!D440))</f>
        <v/>
      </c>
      <c r="E440" s="4">
        <f>Raw_Data!E440</f>
        <v/>
      </c>
      <c r="F440" s="6">
        <f>ROUND(Raw_Data!F440,2)</f>
        <v/>
      </c>
      <c r="G440" s="4">
        <f>PROPER(TRIM(Raw_Data!G440))</f>
        <v/>
      </c>
      <c r="H440" s="4">
        <f>PROPER(TRIM(Raw_Data!H440))</f>
        <v/>
      </c>
      <c r="I440" s="4">
        <f>PROPER(TRIM(Raw_Data!I440))</f>
        <v/>
      </c>
      <c r="J440" s="4">
        <f>TRIM(Raw_Data!J440)</f>
        <v/>
      </c>
      <c r="K440" s="4">
        <f>Raw_Data!K440</f>
        <v/>
      </c>
      <c r="L440" s="4">
        <f>IF(TRIM(Raw_Data!L440)="","No Coupon",TRIM(Raw_Data!L440))</f>
        <v/>
      </c>
      <c r="M440" s="4">
        <f>PROPER(TRIM(Raw_Data!M440))</f>
        <v/>
      </c>
      <c r="N440" s="6">
        <f>ROUND(Raw_Data!N440,2)</f>
        <v/>
      </c>
      <c r="O440" s="7">
        <f>IF(COUNTIF($A$2:$A$1201,A440)&gt;1,"DUPLICATE","Unique")</f>
        <v/>
      </c>
      <c r="P440" s="7">
        <f>IF(COUNTIF($J$2:$J$1201,J440)&gt;1,"DUPLICATE","Unique")</f>
        <v/>
      </c>
      <c r="Q440" s="4">
        <f>IF(TRIM(Raw_Data!L440)="","Yes","No")</f>
        <v/>
      </c>
      <c r="R440" s="4">
        <f>IF(ISNUMBER(B440),"Valid","INVALID")</f>
        <v/>
      </c>
    </row>
    <row r="441">
      <c r="A441" s="4">
        <f>TRIM(Raw_Data!A441)</f>
        <v/>
      </c>
      <c r="B441" s="5">
        <f>Raw_Data!B441</f>
        <v/>
      </c>
      <c r="C441" s="4">
        <f>TRIM(Raw_Data!C441)</f>
        <v/>
      </c>
      <c r="D441" s="4">
        <f>PROPER(TRIM(Raw_Data!D441))</f>
        <v/>
      </c>
      <c r="E441" s="4">
        <f>Raw_Data!E441</f>
        <v/>
      </c>
      <c r="F441" s="6">
        <f>ROUND(Raw_Data!F441,2)</f>
        <v/>
      </c>
      <c r="G441" s="4">
        <f>PROPER(TRIM(Raw_Data!G441))</f>
        <v/>
      </c>
      <c r="H441" s="4">
        <f>PROPER(TRIM(Raw_Data!H441))</f>
        <v/>
      </c>
      <c r="I441" s="4">
        <f>PROPER(TRIM(Raw_Data!I441))</f>
        <v/>
      </c>
      <c r="J441" s="4">
        <f>TRIM(Raw_Data!J441)</f>
        <v/>
      </c>
      <c r="K441" s="4">
        <f>Raw_Data!K441</f>
        <v/>
      </c>
      <c r="L441" s="4">
        <f>IF(TRIM(Raw_Data!L441)="","No Coupon",TRIM(Raw_Data!L441))</f>
        <v/>
      </c>
      <c r="M441" s="4">
        <f>PROPER(TRIM(Raw_Data!M441))</f>
        <v/>
      </c>
      <c r="N441" s="6">
        <f>ROUND(Raw_Data!N441,2)</f>
        <v/>
      </c>
      <c r="O441" s="7">
        <f>IF(COUNTIF($A$2:$A$1201,A441)&gt;1,"DUPLICATE","Unique")</f>
        <v/>
      </c>
      <c r="P441" s="7">
        <f>IF(COUNTIF($J$2:$J$1201,J441)&gt;1,"DUPLICATE","Unique")</f>
        <v/>
      </c>
      <c r="Q441" s="4">
        <f>IF(TRIM(Raw_Data!L441)="","Yes","No")</f>
        <v/>
      </c>
      <c r="R441" s="4">
        <f>IF(ISNUMBER(B441),"Valid","INVALID")</f>
        <v/>
      </c>
    </row>
    <row r="442">
      <c r="A442" s="4">
        <f>TRIM(Raw_Data!A442)</f>
        <v/>
      </c>
      <c r="B442" s="5">
        <f>Raw_Data!B442</f>
        <v/>
      </c>
      <c r="C442" s="4">
        <f>TRIM(Raw_Data!C442)</f>
        <v/>
      </c>
      <c r="D442" s="4">
        <f>PROPER(TRIM(Raw_Data!D442))</f>
        <v/>
      </c>
      <c r="E442" s="4">
        <f>Raw_Data!E442</f>
        <v/>
      </c>
      <c r="F442" s="6">
        <f>ROUND(Raw_Data!F442,2)</f>
        <v/>
      </c>
      <c r="G442" s="4">
        <f>PROPER(TRIM(Raw_Data!G442))</f>
        <v/>
      </c>
      <c r="H442" s="4">
        <f>PROPER(TRIM(Raw_Data!H442))</f>
        <v/>
      </c>
      <c r="I442" s="4">
        <f>PROPER(TRIM(Raw_Data!I442))</f>
        <v/>
      </c>
      <c r="J442" s="4">
        <f>TRIM(Raw_Data!J442)</f>
        <v/>
      </c>
      <c r="K442" s="4">
        <f>Raw_Data!K442</f>
        <v/>
      </c>
      <c r="L442" s="4">
        <f>IF(TRIM(Raw_Data!L442)="","No Coupon",TRIM(Raw_Data!L442))</f>
        <v/>
      </c>
      <c r="M442" s="4">
        <f>PROPER(TRIM(Raw_Data!M442))</f>
        <v/>
      </c>
      <c r="N442" s="6">
        <f>ROUND(Raw_Data!N442,2)</f>
        <v/>
      </c>
      <c r="O442" s="7">
        <f>IF(COUNTIF($A$2:$A$1201,A442)&gt;1,"DUPLICATE","Unique")</f>
        <v/>
      </c>
      <c r="P442" s="7">
        <f>IF(COUNTIF($J$2:$J$1201,J442)&gt;1,"DUPLICATE","Unique")</f>
        <v/>
      </c>
      <c r="Q442" s="4">
        <f>IF(TRIM(Raw_Data!L442)="","Yes","No")</f>
        <v/>
      </c>
      <c r="R442" s="4">
        <f>IF(ISNUMBER(B442),"Valid","INVALID")</f>
        <v/>
      </c>
    </row>
    <row r="443">
      <c r="A443" s="4">
        <f>TRIM(Raw_Data!A443)</f>
        <v/>
      </c>
      <c r="B443" s="5">
        <f>Raw_Data!B443</f>
        <v/>
      </c>
      <c r="C443" s="4">
        <f>TRIM(Raw_Data!C443)</f>
        <v/>
      </c>
      <c r="D443" s="4">
        <f>PROPER(TRIM(Raw_Data!D443))</f>
        <v/>
      </c>
      <c r="E443" s="4">
        <f>Raw_Data!E443</f>
        <v/>
      </c>
      <c r="F443" s="6">
        <f>ROUND(Raw_Data!F443,2)</f>
        <v/>
      </c>
      <c r="G443" s="4">
        <f>PROPER(TRIM(Raw_Data!G443))</f>
        <v/>
      </c>
      <c r="H443" s="4">
        <f>PROPER(TRIM(Raw_Data!H443))</f>
        <v/>
      </c>
      <c r="I443" s="4">
        <f>PROPER(TRIM(Raw_Data!I443))</f>
        <v/>
      </c>
      <c r="J443" s="4">
        <f>TRIM(Raw_Data!J443)</f>
        <v/>
      </c>
      <c r="K443" s="4">
        <f>Raw_Data!K443</f>
        <v/>
      </c>
      <c r="L443" s="4">
        <f>IF(TRIM(Raw_Data!L443)="","No Coupon",TRIM(Raw_Data!L443))</f>
        <v/>
      </c>
      <c r="M443" s="4">
        <f>PROPER(TRIM(Raw_Data!M443))</f>
        <v/>
      </c>
      <c r="N443" s="6">
        <f>ROUND(Raw_Data!N443,2)</f>
        <v/>
      </c>
      <c r="O443" s="7">
        <f>IF(COUNTIF($A$2:$A$1201,A443)&gt;1,"DUPLICATE","Unique")</f>
        <v/>
      </c>
      <c r="P443" s="7">
        <f>IF(COUNTIF($J$2:$J$1201,J443)&gt;1,"DUPLICATE","Unique")</f>
        <v/>
      </c>
      <c r="Q443" s="4">
        <f>IF(TRIM(Raw_Data!L443)="","Yes","No")</f>
        <v/>
      </c>
      <c r="R443" s="4">
        <f>IF(ISNUMBER(B443),"Valid","INVALID")</f>
        <v/>
      </c>
    </row>
    <row r="444">
      <c r="A444" s="4">
        <f>TRIM(Raw_Data!A444)</f>
        <v/>
      </c>
      <c r="B444" s="5">
        <f>Raw_Data!B444</f>
        <v/>
      </c>
      <c r="C444" s="4">
        <f>TRIM(Raw_Data!C444)</f>
        <v/>
      </c>
      <c r="D444" s="4">
        <f>PROPER(TRIM(Raw_Data!D444))</f>
        <v/>
      </c>
      <c r="E444" s="4">
        <f>Raw_Data!E444</f>
        <v/>
      </c>
      <c r="F444" s="6">
        <f>ROUND(Raw_Data!F444,2)</f>
        <v/>
      </c>
      <c r="G444" s="4">
        <f>PROPER(TRIM(Raw_Data!G444))</f>
        <v/>
      </c>
      <c r="H444" s="4">
        <f>PROPER(TRIM(Raw_Data!H444))</f>
        <v/>
      </c>
      <c r="I444" s="4">
        <f>PROPER(TRIM(Raw_Data!I444))</f>
        <v/>
      </c>
      <c r="J444" s="4">
        <f>TRIM(Raw_Data!J444)</f>
        <v/>
      </c>
      <c r="K444" s="4">
        <f>Raw_Data!K444</f>
        <v/>
      </c>
      <c r="L444" s="4">
        <f>IF(TRIM(Raw_Data!L444)="","No Coupon",TRIM(Raw_Data!L444))</f>
        <v/>
      </c>
      <c r="M444" s="4">
        <f>PROPER(TRIM(Raw_Data!M444))</f>
        <v/>
      </c>
      <c r="N444" s="6">
        <f>ROUND(Raw_Data!N444,2)</f>
        <v/>
      </c>
      <c r="O444" s="7">
        <f>IF(COUNTIF($A$2:$A$1201,A444)&gt;1,"DUPLICATE","Unique")</f>
        <v/>
      </c>
      <c r="P444" s="7">
        <f>IF(COUNTIF($J$2:$J$1201,J444)&gt;1,"DUPLICATE","Unique")</f>
        <v/>
      </c>
      <c r="Q444" s="4">
        <f>IF(TRIM(Raw_Data!L444)="","Yes","No")</f>
        <v/>
      </c>
      <c r="R444" s="4">
        <f>IF(ISNUMBER(B444),"Valid","INVALID")</f>
        <v/>
      </c>
    </row>
    <row r="445">
      <c r="A445" s="4">
        <f>TRIM(Raw_Data!A445)</f>
        <v/>
      </c>
      <c r="B445" s="5">
        <f>Raw_Data!B445</f>
        <v/>
      </c>
      <c r="C445" s="4">
        <f>TRIM(Raw_Data!C445)</f>
        <v/>
      </c>
      <c r="D445" s="4">
        <f>PROPER(TRIM(Raw_Data!D445))</f>
        <v/>
      </c>
      <c r="E445" s="4">
        <f>Raw_Data!E445</f>
        <v/>
      </c>
      <c r="F445" s="6">
        <f>ROUND(Raw_Data!F445,2)</f>
        <v/>
      </c>
      <c r="G445" s="4">
        <f>PROPER(TRIM(Raw_Data!G445))</f>
        <v/>
      </c>
      <c r="H445" s="4">
        <f>PROPER(TRIM(Raw_Data!H445))</f>
        <v/>
      </c>
      <c r="I445" s="4">
        <f>PROPER(TRIM(Raw_Data!I445))</f>
        <v/>
      </c>
      <c r="J445" s="4">
        <f>TRIM(Raw_Data!J445)</f>
        <v/>
      </c>
      <c r="K445" s="4">
        <f>Raw_Data!K445</f>
        <v/>
      </c>
      <c r="L445" s="4">
        <f>IF(TRIM(Raw_Data!L445)="","No Coupon",TRIM(Raw_Data!L445))</f>
        <v/>
      </c>
      <c r="M445" s="4">
        <f>PROPER(TRIM(Raw_Data!M445))</f>
        <v/>
      </c>
      <c r="N445" s="6">
        <f>ROUND(Raw_Data!N445,2)</f>
        <v/>
      </c>
      <c r="O445" s="7">
        <f>IF(COUNTIF($A$2:$A$1201,A445)&gt;1,"DUPLICATE","Unique")</f>
        <v/>
      </c>
      <c r="P445" s="7">
        <f>IF(COUNTIF($J$2:$J$1201,J445)&gt;1,"DUPLICATE","Unique")</f>
        <v/>
      </c>
      <c r="Q445" s="4">
        <f>IF(TRIM(Raw_Data!L445)="","Yes","No")</f>
        <v/>
      </c>
      <c r="R445" s="4">
        <f>IF(ISNUMBER(B445),"Valid","INVALID")</f>
        <v/>
      </c>
    </row>
    <row r="446">
      <c r="A446" s="4">
        <f>TRIM(Raw_Data!A446)</f>
        <v/>
      </c>
      <c r="B446" s="5">
        <f>Raw_Data!B446</f>
        <v/>
      </c>
      <c r="C446" s="4">
        <f>TRIM(Raw_Data!C446)</f>
        <v/>
      </c>
      <c r="D446" s="4">
        <f>PROPER(TRIM(Raw_Data!D446))</f>
        <v/>
      </c>
      <c r="E446" s="4">
        <f>Raw_Data!E446</f>
        <v/>
      </c>
      <c r="F446" s="6">
        <f>ROUND(Raw_Data!F446,2)</f>
        <v/>
      </c>
      <c r="G446" s="4">
        <f>PROPER(TRIM(Raw_Data!G446))</f>
        <v/>
      </c>
      <c r="H446" s="4">
        <f>PROPER(TRIM(Raw_Data!H446))</f>
        <v/>
      </c>
      <c r="I446" s="4">
        <f>PROPER(TRIM(Raw_Data!I446))</f>
        <v/>
      </c>
      <c r="J446" s="4">
        <f>TRIM(Raw_Data!J446)</f>
        <v/>
      </c>
      <c r="K446" s="4">
        <f>Raw_Data!K446</f>
        <v/>
      </c>
      <c r="L446" s="4">
        <f>IF(TRIM(Raw_Data!L446)="","No Coupon",TRIM(Raw_Data!L446))</f>
        <v/>
      </c>
      <c r="M446" s="4">
        <f>PROPER(TRIM(Raw_Data!M446))</f>
        <v/>
      </c>
      <c r="N446" s="6">
        <f>ROUND(Raw_Data!N446,2)</f>
        <v/>
      </c>
      <c r="O446" s="7">
        <f>IF(COUNTIF($A$2:$A$1201,A446)&gt;1,"DUPLICATE","Unique")</f>
        <v/>
      </c>
      <c r="P446" s="7">
        <f>IF(COUNTIF($J$2:$J$1201,J446)&gt;1,"DUPLICATE","Unique")</f>
        <v/>
      </c>
      <c r="Q446" s="4">
        <f>IF(TRIM(Raw_Data!L446)="","Yes","No")</f>
        <v/>
      </c>
      <c r="R446" s="4">
        <f>IF(ISNUMBER(B446),"Valid","INVALID")</f>
        <v/>
      </c>
    </row>
    <row r="447">
      <c r="A447" s="4">
        <f>TRIM(Raw_Data!A447)</f>
        <v/>
      </c>
      <c r="B447" s="5">
        <f>Raw_Data!B447</f>
        <v/>
      </c>
      <c r="C447" s="4">
        <f>TRIM(Raw_Data!C447)</f>
        <v/>
      </c>
      <c r="D447" s="4">
        <f>PROPER(TRIM(Raw_Data!D447))</f>
        <v/>
      </c>
      <c r="E447" s="4">
        <f>Raw_Data!E447</f>
        <v/>
      </c>
      <c r="F447" s="6">
        <f>ROUND(Raw_Data!F447,2)</f>
        <v/>
      </c>
      <c r="G447" s="4">
        <f>PROPER(TRIM(Raw_Data!G447))</f>
        <v/>
      </c>
      <c r="H447" s="4">
        <f>PROPER(TRIM(Raw_Data!H447))</f>
        <v/>
      </c>
      <c r="I447" s="4">
        <f>PROPER(TRIM(Raw_Data!I447))</f>
        <v/>
      </c>
      <c r="J447" s="4">
        <f>TRIM(Raw_Data!J447)</f>
        <v/>
      </c>
      <c r="K447" s="4">
        <f>Raw_Data!K447</f>
        <v/>
      </c>
      <c r="L447" s="4">
        <f>IF(TRIM(Raw_Data!L447)="","No Coupon",TRIM(Raw_Data!L447))</f>
        <v/>
      </c>
      <c r="M447" s="4">
        <f>PROPER(TRIM(Raw_Data!M447))</f>
        <v/>
      </c>
      <c r="N447" s="6">
        <f>ROUND(Raw_Data!N447,2)</f>
        <v/>
      </c>
      <c r="O447" s="7">
        <f>IF(COUNTIF($A$2:$A$1201,A447)&gt;1,"DUPLICATE","Unique")</f>
        <v/>
      </c>
      <c r="P447" s="7">
        <f>IF(COUNTIF($J$2:$J$1201,J447)&gt;1,"DUPLICATE","Unique")</f>
        <v/>
      </c>
      <c r="Q447" s="4">
        <f>IF(TRIM(Raw_Data!L447)="","Yes","No")</f>
        <v/>
      </c>
      <c r="R447" s="4">
        <f>IF(ISNUMBER(B447),"Valid","INVALID")</f>
        <v/>
      </c>
    </row>
    <row r="448">
      <c r="A448" s="4">
        <f>TRIM(Raw_Data!A448)</f>
        <v/>
      </c>
      <c r="B448" s="5">
        <f>Raw_Data!B448</f>
        <v/>
      </c>
      <c r="C448" s="4">
        <f>TRIM(Raw_Data!C448)</f>
        <v/>
      </c>
      <c r="D448" s="4">
        <f>PROPER(TRIM(Raw_Data!D448))</f>
        <v/>
      </c>
      <c r="E448" s="4">
        <f>Raw_Data!E448</f>
        <v/>
      </c>
      <c r="F448" s="6">
        <f>ROUND(Raw_Data!F448,2)</f>
        <v/>
      </c>
      <c r="G448" s="4">
        <f>PROPER(TRIM(Raw_Data!G448))</f>
        <v/>
      </c>
      <c r="H448" s="4">
        <f>PROPER(TRIM(Raw_Data!H448))</f>
        <v/>
      </c>
      <c r="I448" s="4">
        <f>PROPER(TRIM(Raw_Data!I448))</f>
        <v/>
      </c>
      <c r="J448" s="4">
        <f>TRIM(Raw_Data!J448)</f>
        <v/>
      </c>
      <c r="K448" s="4">
        <f>Raw_Data!K448</f>
        <v/>
      </c>
      <c r="L448" s="4">
        <f>IF(TRIM(Raw_Data!L448)="","No Coupon",TRIM(Raw_Data!L448))</f>
        <v/>
      </c>
      <c r="M448" s="4">
        <f>PROPER(TRIM(Raw_Data!M448))</f>
        <v/>
      </c>
      <c r="N448" s="6">
        <f>ROUND(Raw_Data!N448,2)</f>
        <v/>
      </c>
      <c r="O448" s="7">
        <f>IF(COUNTIF($A$2:$A$1201,A448)&gt;1,"DUPLICATE","Unique")</f>
        <v/>
      </c>
      <c r="P448" s="7">
        <f>IF(COUNTIF($J$2:$J$1201,J448)&gt;1,"DUPLICATE","Unique")</f>
        <v/>
      </c>
      <c r="Q448" s="4">
        <f>IF(TRIM(Raw_Data!L448)="","Yes","No")</f>
        <v/>
      </c>
      <c r="R448" s="4">
        <f>IF(ISNUMBER(B448),"Valid","INVALID")</f>
        <v/>
      </c>
    </row>
    <row r="449">
      <c r="A449" s="4">
        <f>TRIM(Raw_Data!A449)</f>
        <v/>
      </c>
      <c r="B449" s="5">
        <f>Raw_Data!B449</f>
        <v/>
      </c>
      <c r="C449" s="4">
        <f>TRIM(Raw_Data!C449)</f>
        <v/>
      </c>
      <c r="D449" s="4">
        <f>PROPER(TRIM(Raw_Data!D449))</f>
        <v/>
      </c>
      <c r="E449" s="4">
        <f>Raw_Data!E449</f>
        <v/>
      </c>
      <c r="F449" s="6">
        <f>ROUND(Raw_Data!F449,2)</f>
        <v/>
      </c>
      <c r="G449" s="4">
        <f>PROPER(TRIM(Raw_Data!G449))</f>
        <v/>
      </c>
      <c r="H449" s="4">
        <f>PROPER(TRIM(Raw_Data!H449))</f>
        <v/>
      </c>
      <c r="I449" s="4">
        <f>PROPER(TRIM(Raw_Data!I449))</f>
        <v/>
      </c>
      <c r="J449" s="4">
        <f>TRIM(Raw_Data!J449)</f>
        <v/>
      </c>
      <c r="K449" s="4">
        <f>Raw_Data!K449</f>
        <v/>
      </c>
      <c r="L449" s="4">
        <f>IF(TRIM(Raw_Data!L449)="","No Coupon",TRIM(Raw_Data!L449))</f>
        <v/>
      </c>
      <c r="M449" s="4">
        <f>PROPER(TRIM(Raw_Data!M449))</f>
        <v/>
      </c>
      <c r="N449" s="6">
        <f>ROUND(Raw_Data!N449,2)</f>
        <v/>
      </c>
      <c r="O449" s="7">
        <f>IF(COUNTIF($A$2:$A$1201,A449)&gt;1,"DUPLICATE","Unique")</f>
        <v/>
      </c>
      <c r="P449" s="7">
        <f>IF(COUNTIF($J$2:$J$1201,J449)&gt;1,"DUPLICATE","Unique")</f>
        <v/>
      </c>
      <c r="Q449" s="4">
        <f>IF(TRIM(Raw_Data!L449)="","Yes","No")</f>
        <v/>
      </c>
      <c r="R449" s="4">
        <f>IF(ISNUMBER(B449),"Valid","INVALID")</f>
        <v/>
      </c>
    </row>
    <row r="450">
      <c r="A450" s="4">
        <f>TRIM(Raw_Data!A450)</f>
        <v/>
      </c>
      <c r="B450" s="5">
        <f>Raw_Data!B450</f>
        <v/>
      </c>
      <c r="C450" s="4">
        <f>TRIM(Raw_Data!C450)</f>
        <v/>
      </c>
      <c r="D450" s="4">
        <f>PROPER(TRIM(Raw_Data!D450))</f>
        <v/>
      </c>
      <c r="E450" s="4">
        <f>Raw_Data!E450</f>
        <v/>
      </c>
      <c r="F450" s="6">
        <f>ROUND(Raw_Data!F450,2)</f>
        <v/>
      </c>
      <c r="G450" s="4">
        <f>PROPER(TRIM(Raw_Data!G450))</f>
        <v/>
      </c>
      <c r="H450" s="4">
        <f>PROPER(TRIM(Raw_Data!H450))</f>
        <v/>
      </c>
      <c r="I450" s="4">
        <f>PROPER(TRIM(Raw_Data!I450))</f>
        <v/>
      </c>
      <c r="J450" s="4">
        <f>TRIM(Raw_Data!J450)</f>
        <v/>
      </c>
      <c r="K450" s="4">
        <f>Raw_Data!K450</f>
        <v/>
      </c>
      <c r="L450" s="4">
        <f>IF(TRIM(Raw_Data!L450)="","No Coupon",TRIM(Raw_Data!L450))</f>
        <v/>
      </c>
      <c r="M450" s="4">
        <f>PROPER(TRIM(Raw_Data!M450))</f>
        <v/>
      </c>
      <c r="N450" s="6">
        <f>ROUND(Raw_Data!N450,2)</f>
        <v/>
      </c>
      <c r="O450" s="7">
        <f>IF(COUNTIF($A$2:$A$1201,A450)&gt;1,"DUPLICATE","Unique")</f>
        <v/>
      </c>
      <c r="P450" s="7">
        <f>IF(COUNTIF($J$2:$J$1201,J450)&gt;1,"DUPLICATE","Unique")</f>
        <v/>
      </c>
      <c r="Q450" s="4">
        <f>IF(TRIM(Raw_Data!L450)="","Yes","No")</f>
        <v/>
      </c>
      <c r="R450" s="4">
        <f>IF(ISNUMBER(B450),"Valid","INVALID")</f>
        <v/>
      </c>
    </row>
    <row r="451">
      <c r="A451" s="4">
        <f>TRIM(Raw_Data!A451)</f>
        <v/>
      </c>
      <c r="B451" s="5">
        <f>Raw_Data!B451</f>
        <v/>
      </c>
      <c r="C451" s="4">
        <f>TRIM(Raw_Data!C451)</f>
        <v/>
      </c>
      <c r="D451" s="4">
        <f>PROPER(TRIM(Raw_Data!D451))</f>
        <v/>
      </c>
      <c r="E451" s="4">
        <f>Raw_Data!E451</f>
        <v/>
      </c>
      <c r="F451" s="6">
        <f>ROUND(Raw_Data!F451,2)</f>
        <v/>
      </c>
      <c r="G451" s="4">
        <f>PROPER(TRIM(Raw_Data!G451))</f>
        <v/>
      </c>
      <c r="H451" s="4">
        <f>PROPER(TRIM(Raw_Data!H451))</f>
        <v/>
      </c>
      <c r="I451" s="4">
        <f>PROPER(TRIM(Raw_Data!I451))</f>
        <v/>
      </c>
      <c r="J451" s="4">
        <f>TRIM(Raw_Data!J451)</f>
        <v/>
      </c>
      <c r="K451" s="4">
        <f>Raw_Data!K451</f>
        <v/>
      </c>
      <c r="L451" s="4">
        <f>IF(TRIM(Raw_Data!L451)="","No Coupon",TRIM(Raw_Data!L451))</f>
        <v/>
      </c>
      <c r="M451" s="4">
        <f>PROPER(TRIM(Raw_Data!M451))</f>
        <v/>
      </c>
      <c r="N451" s="6">
        <f>ROUND(Raw_Data!N451,2)</f>
        <v/>
      </c>
      <c r="O451" s="7">
        <f>IF(COUNTIF($A$2:$A$1201,A451)&gt;1,"DUPLICATE","Unique")</f>
        <v/>
      </c>
      <c r="P451" s="7">
        <f>IF(COUNTIF($J$2:$J$1201,J451)&gt;1,"DUPLICATE","Unique")</f>
        <v/>
      </c>
      <c r="Q451" s="4">
        <f>IF(TRIM(Raw_Data!L451)="","Yes","No")</f>
        <v/>
      </c>
      <c r="R451" s="4">
        <f>IF(ISNUMBER(B451),"Valid","INVALID")</f>
        <v/>
      </c>
    </row>
    <row r="452">
      <c r="A452" s="4">
        <f>TRIM(Raw_Data!A452)</f>
        <v/>
      </c>
      <c r="B452" s="5">
        <f>Raw_Data!B452</f>
        <v/>
      </c>
      <c r="C452" s="4">
        <f>TRIM(Raw_Data!C452)</f>
        <v/>
      </c>
      <c r="D452" s="4">
        <f>PROPER(TRIM(Raw_Data!D452))</f>
        <v/>
      </c>
      <c r="E452" s="4">
        <f>Raw_Data!E452</f>
        <v/>
      </c>
      <c r="F452" s="6">
        <f>ROUND(Raw_Data!F452,2)</f>
        <v/>
      </c>
      <c r="G452" s="4">
        <f>PROPER(TRIM(Raw_Data!G452))</f>
        <v/>
      </c>
      <c r="H452" s="4">
        <f>PROPER(TRIM(Raw_Data!H452))</f>
        <v/>
      </c>
      <c r="I452" s="4">
        <f>PROPER(TRIM(Raw_Data!I452))</f>
        <v/>
      </c>
      <c r="J452" s="4">
        <f>TRIM(Raw_Data!J452)</f>
        <v/>
      </c>
      <c r="K452" s="4">
        <f>Raw_Data!K452</f>
        <v/>
      </c>
      <c r="L452" s="4">
        <f>IF(TRIM(Raw_Data!L452)="","No Coupon",TRIM(Raw_Data!L452))</f>
        <v/>
      </c>
      <c r="M452" s="4">
        <f>PROPER(TRIM(Raw_Data!M452))</f>
        <v/>
      </c>
      <c r="N452" s="6">
        <f>ROUND(Raw_Data!N452,2)</f>
        <v/>
      </c>
      <c r="O452" s="7">
        <f>IF(COUNTIF($A$2:$A$1201,A452)&gt;1,"DUPLICATE","Unique")</f>
        <v/>
      </c>
      <c r="P452" s="7">
        <f>IF(COUNTIF($J$2:$J$1201,J452)&gt;1,"DUPLICATE","Unique")</f>
        <v/>
      </c>
      <c r="Q452" s="4">
        <f>IF(TRIM(Raw_Data!L452)="","Yes","No")</f>
        <v/>
      </c>
      <c r="R452" s="4">
        <f>IF(ISNUMBER(B452),"Valid","INVALID")</f>
        <v/>
      </c>
    </row>
    <row r="453">
      <c r="A453" s="4">
        <f>TRIM(Raw_Data!A453)</f>
        <v/>
      </c>
      <c r="B453" s="5">
        <f>Raw_Data!B453</f>
        <v/>
      </c>
      <c r="C453" s="4">
        <f>TRIM(Raw_Data!C453)</f>
        <v/>
      </c>
      <c r="D453" s="4">
        <f>PROPER(TRIM(Raw_Data!D453))</f>
        <v/>
      </c>
      <c r="E453" s="4">
        <f>Raw_Data!E453</f>
        <v/>
      </c>
      <c r="F453" s="6">
        <f>ROUND(Raw_Data!F453,2)</f>
        <v/>
      </c>
      <c r="G453" s="4">
        <f>PROPER(TRIM(Raw_Data!G453))</f>
        <v/>
      </c>
      <c r="H453" s="4">
        <f>PROPER(TRIM(Raw_Data!H453))</f>
        <v/>
      </c>
      <c r="I453" s="4">
        <f>PROPER(TRIM(Raw_Data!I453))</f>
        <v/>
      </c>
      <c r="J453" s="4">
        <f>TRIM(Raw_Data!J453)</f>
        <v/>
      </c>
      <c r="K453" s="4">
        <f>Raw_Data!K453</f>
        <v/>
      </c>
      <c r="L453" s="4">
        <f>IF(TRIM(Raw_Data!L453)="","No Coupon",TRIM(Raw_Data!L453))</f>
        <v/>
      </c>
      <c r="M453" s="4">
        <f>PROPER(TRIM(Raw_Data!M453))</f>
        <v/>
      </c>
      <c r="N453" s="6">
        <f>ROUND(Raw_Data!N453,2)</f>
        <v/>
      </c>
      <c r="O453" s="7">
        <f>IF(COUNTIF($A$2:$A$1201,A453)&gt;1,"DUPLICATE","Unique")</f>
        <v/>
      </c>
      <c r="P453" s="7">
        <f>IF(COUNTIF($J$2:$J$1201,J453)&gt;1,"DUPLICATE","Unique")</f>
        <v/>
      </c>
      <c r="Q453" s="4">
        <f>IF(TRIM(Raw_Data!L453)="","Yes","No")</f>
        <v/>
      </c>
      <c r="R453" s="4">
        <f>IF(ISNUMBER(B453),"Valid","INVALID")</f>
        <v/>
      </c>
    </row>
    <row r="454">
      <c r="A454" s="4">
        <f>TRIM(Raw_Data!A454)</f>
        <v/>
      </c>
      <c r="B454" s="5">
        <f>Raw_Data!B454</f>
        <v/>
      </c>
      <c r="C454" s="4">
        <f>TRIM(Raw_Data!C454)</f>
        <v/>
      </c>
      <c r="D454" s="4">
        <f>PROPER(TRIM(Raw_Data!D454))</f>
        <v/>
      </c>
      <c r="E454" s="4">
        <f>Raw_Data!E454</f>
        <v/>
      </c>
      <c r="F454" s="6">
        <f>ROUND(Raw_Data!F454,2)</f>
        <v/>
      </c>
      <c r="G454" s="4">
        <f>PROPER(TRIM(Raw_Data!G454))</f>
        <v/>
      </c>
      <c r="H454" s="4">
        <f>PROPER(TRIM(Raw_Data!H454))</f>
        <v/>
      </c>
      <c r="I454" s="4">
        <f>PROPER(TRIM(Raw_Data!I454))</f>
        <v/>
      </c>
      <c r="J454" s="4">
        <f>TRIM(Raw_Data!J454)</f>
        <v/>
      </c>
      <c r="K454" s="4">
        <f>Raw_Data!K454</f>
        <v/>
      </c>
      <c r="L454" s="4">
        <f>IF(TRIM(Raw_Data!L454)="","No Coupon",TRIM(Raw_Data!L454))</f>
        <v/>
      </c>
      <c r="M454" s="4">
        <f>PROPER(TRIM(Raw_Data!M454))</f>
        <v/>
      </c>
      <c r="N454" s="6">
        <f>ROUND(Raw_Data!N454,2)</f>
        <v/>
      </c>
      <c r="O454" s="7">
        <f>IF(COUNTIF($A$2:$A$1201,A454)&gt;1,"DUPLICATE","Unique")</f>
        <v/>
      </c>
      <c r="P454" s="7">
        <f>IF(COUNTIF($J$2:$J$1201,J454)&gt;1,"DUPLICATE","Unique")</f>
        <v/>
      </c>
      <c r="Q454" s="4">
        <f>IF(TRIM(Raw_Data!L454)="","Yes","No")</f>
        <v/>
      </c>
      <c r="R454" s="4">
        <f>IF(ISNUMBER(B454),"Valid","INVALID")</f>
        <v/>
      </c>
    </row>
    <row r="455">
      <c r="A455" s="4">
        <f>TRIM(Raw_Data!A455)</f>
        <v/>
      </c>
      <c r="B455" s="5">
        <f>Raw_Data!B455</f>
        <v/>
      </c>
      <c r="C455" s="4">
        <f>TRIM(Raw_Data!C455)</f>
        <v/>
      </c>
      <c r="D455" s="4">
        <f>PROPER(TRIM(Raw_Data!D455))</f>
        <v/>
      </c>
      <c r="E455" s="4">
        <f>Raw_Data!E455</f>
        <v/>
      </c>
      <c r="F455" s="6">
        <f>ROUND(Raw_Data!F455,2)</f>
        <v/>
      </c>
      <c r="G455" s="4">
        <f>PROPER(TRIM(Raw_Data!G455))</f>
        <v/>
      </c>
      <c r="H455" s="4">
        <f>PROPER(TRIM(Raw_Data!H455))</f>
        <v/>
      </c>
      <c r="I455" s="4">
        <f>PROPER(TRIM(Raw_Data!I455))</f>
        <v/>
      </c>
      <c r="J455" s="4">
        <f>TRIM(Raw_Data!J455)</f>
        <v/>
      </c>
      <c r="K455" s="4">
        <f>Raw_Data!K455</f>
        <v/>
      </c>
      <c r="L455" s="4">
        <f>IF(TRIM(Raw_Data!L455)="","No Coupon",TRIM(Raw_Data!L455))</f>
        <v/>
      </c>
      <c r="M455" s="4">
        <f>PROPER(TRIM(Raw_Data!M455))</f>
        <v/>
      </c>
      <c r="N455" s="6">
        <f>ROUND(Raw_Data!N455,2)</f>
        <v/>
      </c>
      <c r="O455" s="7">
        <f>IF(COUNTIF($A$2:$A$1201,A455)&gt;1,"DUPLICATE","Unique")</f>
        <v/>
      </c>
      <c r="P455" s="7">
        <f>IF(COUNTIF($J$2:$J$1201,J455)&gt;1,"DUPLICATE","Unique")</f>
        <v/>
      </c>
      <c r="Q455" s="4">
        <f>IF(TRIM(Raw_Data!L455)="","Yes","No")</f>
        <v/>
      </c>
      <c r="R455" s="4">
        <f>IF(ISNUMBER(B455),"Valid","INVALID")</f>
        <v/>
      </c>
    </row>
    <row r="456">
      <c r="A456" s="4">
        <f>TRIM(Raw_Data!A456)</f>
        <v/>
      </c>
      <c r="B456" s="5">
        <f>Raw_Data!B456</f>
        <v/>
      </c>
      <c r="C456" s="4">
        <f>TRIM(Raw_Data!C456)</f>
        <v/>
      </c>
      <c r="D456" s="4">
        <f>PROPER(TRIM(Raw_Data!D456))</f>
        <v/>
      </c>
      <c r="E456" s="4">
        <f>Raw_Data!E456</f>
        <v/>
      </c>
      <c r="F456" s="6">
        <f>ROUND(Raw_Data!F456,2)</f>
        <v/>
      </c>
      <c r="G456" s="4">
        <f>PROPER(TRIM(Raw_Data!G456))</f>
        <v/>
      </c>
      <c r="H456" s="4">
        <f>PROPER(TRIM(Raw_Data!H456))</f>
        <v/>
      </c>
      <c r="I456" s="4">
        <f>PROPER(TRIM(Raw_Data!I456))</f>
        <v/>
      </c>
      <c r="J456" s="4">
        <f>TRIM(Raw_Data!J456)</f>
        <v/>
      </c>
      <c r="K456" s="4">
        <f>Raw_Data!K456</f>
        <v/>
      </c>
      <c r="L456" s="4">
        <f>IF(TRIM(Raw_Data!L456)="","No Coupon",TRIM(Raw_Data!L456))</f>
        <v/>
      </c>
      <c r="M456" s="4">
        <f>PROPER(TRIM(Raw_Data!M456))</f>
        <v/>
      </c>
      <c r="N456" s="6">
        <f>ROUND(Raw_Data!N456,2)</f>
        <v/>
      </c>
      <c r="O456" s="7">
        <f>IF(COUNTIF($A$2:$A$1201,A456)&gt;1,"DUPLICATE","Unique")</f>
        <v/>
      </c>
      <c r="P456" s="7">
        <f>IF(COUNTIF($J$2:$J$1201,J456)&gt;1,"DUPLICATE","Unique")</f>
        <v/>
      </c>
      <c r="Q456" s="4">
        <f>IF(TRIM(Raw_Data!L456)="","Yes","No")</f>
        <v/>
      </c>
      <c r="R456" s="4">
        <f>IF(ISNUMBER(B456),"Valid","INVALID")</f>
        <v/>
      </c>
    </row>
    <row r="457">
      <c r="A457" s="4">
        <f>TRIM(Raw_Data!A457)</f>
        <v/>
      </c>
      <c r="B457" s="5">
        <f>Raw_Data!B457</f>
        <v/>
      </c>
      <c r="C457" s="4">
        <f>TRIM(Raw_Data!C457)</f>
        <v/>
      </c>
      <c r="D457" s="4">
        <f>PROPER(TRIM(Raw_Data!D457))</f>
        <v/>
      </c>
      <c r="E457" s="4">
        <f>Raw_Data!E457</f>
        <v/>
      </c>
      <c r="F457" s="6">
        <f>ROUND(Raw_Data!F457,2)</f>
        <v/>
      </c>
      <c r="G457" s="4">
        <f>PROPER(TRIM(Raw_Data!G457))</f>
        <v/>
      </c>
      <c r="H457" s="4">
        <f>PROPER(TRIM(Raw_Data!H457))</f>
        <v/>
      </c>
      <c r="I457" s="4">
        <f>PROPER(TRIM(Raw_Data!I457))</f>
        <v/>
      </c>
      <c r="J457" s="4">
        <f>TRIM(Raw_Data!J457)</f>
        <v/>
      </c>
      <c r="K457" s="4">
        <f>Raw_Data!K457</f>
        <v/>
      </c>
      <c r="L457" s="4">
        <f>IF(TRIM(Raw_Data!L457)="","No Coupon",TRIM(Raw_Data!L457))</f>
        <v/>
      </c>
      <c r="M457" s="4">
        <f>PROPER(TRIM(Raw_Data!M457))</f>
        <v/>
      </c>
      <c r="N457" s="6">
        <f>ROUND(Raw_Data!N457,2)</f>
        <v/>
      </c>
      <c r="O457" s="7">
        <f>IF(COUNTIF($A$2:$A$1201,A457)&gt;1,"DUPLICATE","Unique")</f>
        <v/>
      </c>
      <c r="P457" s="7">
        <f>IF(COUNTIF($J$2:$J$1201,J457)&gt;1,"DUPLICATE","Unique")</f>
        <v/>
      </c>
      <c r="Q457" s="4">
        <f>IF(TRIM(Raw_Data!L457)="","Yes","No")</f>
        <v/>
      </c>
      <c r="R457" s="4">
        <f>IF(ISNUMBER(B457),"Valid","INVALID")</f>
        <v/>
      </c>
    </row>
    <row r="458">
      <c r="A458" s="4">
        <f>TRIM(Raw_Data!A458)</f>
        <v/>
      </c>
      <c r="B458" s="5">
        <f>Raw_Data!B458</f>
        <v/>
      </c>
      <c r="C458" s="4">
        <f>TRIM(Raw_Data!C458)</f>
        <v/>
      </c>
      <c r="D458" s="4">
        <f>PROPER(TRIM(Raw_Data!D458))</f>
        <v/>
      </c>
      <c r="E458" s="4">
        <f>Raw_Data!E458</f>
        <v/>
      </c>
      <c r="F458" s="6">
        <f>ROUND(Raw_Data!F458,2)</f>
        <v/>
      </c>
      <c r="G458" s="4">
        <f>PROPER(TRIM(Raw_Data!G458))</f>
        <v/>
      </c>
      <c r="H458" s="4">
        <f>PROPER(TRIM(Raw_Data!H458))</f>
        <v/>
      </c>
      <c r="I458" s="4">
        <f>PROPER(TRIM(Raw_Data!I458))</f>
        <v/>
      </c>
      <c r="J458" s="4">
        <f>TRIM(Raw_Data!J458)</f>
        <v/>
      </c>
      <c r="K458" s="4">
        <f>Raw_Data!K458</f>
        <v/>
      </c>
      <c r="L458" s="4">
        <f>IF(TRIM(Raw_Data!L458)="","No Coupon",TRIM(Raw_Data!L458))</f>
        <v/>
      </c>
      <c r="M458" s="4">
        <f>PROPER(TRIM(Raw_Data!M458))</f>
        <v/>
      </c>
      <c r="N458" s="6">
        <f>ROUND(Raw_Data!N458,2)</f>
        <v/>
      </c>
      <c r="O458" s="7">
        <f>IF(COUNTIF($A$2:$A$1201,A458)&gt;1,"DUPLICATE","Unique")</f>
        <v/>
      </c>
      <c r="P458" s="7">
        <f>IF(COUNTIF($J$2:$J$1201,J458)&gt;1,"DUPLICATE","Unique")</f>
        <v/>
      </c>
      <c r="Q458" s="4">
        <f>IF(TRIM(Raw_Data!L458)="","Yes","No")</f>
        <v/>
      </c>
      <c r="R458" s="4">
        <f>IF(ISNUMBER(B458),"Valid","INVALID")</f>
        <v/>
      </c>
    </row>
    <row r="459">
      <c r="A459" s="4">
        <f>TRIM(Raw_Data!A459)</f>
        <v/>
      </c>
      <c r="B459" s="5">
        <f>Raw_Data!B459</f>
        <v/>
      </c>
      <c r="C459" s="4">
        <f>TRIM(Raw_Data!C459)</f>
        <v/>
      </c>
      <c r="D459" s="4">
        <f>PROPER(TRIM(Raw_Data!D459))</f>
        <v/>
      </c>
      <c r="E459" s="4">
        <f>Raw_Data!E459</f>
        <v/>
      </c>
      <c r="F459" s="6">
        <f>ROUND(Raw_Data!F459,2)</f>
        <v/>
      </c>
      <c r="G459" s="4">
        <f>PROPER(TRIM(Raw_Data!G459))</f>
        <v/>
      </c>
      <c r="H459" s="4">
        <f>PROPER(TRIM(Raw_Data!H459))</f>
        <v/>
      </c>
      <c r="I459" s="4">
        <f>PROPER(TRIM(Raw_Data!I459))</f>
        <v/>
      </c>
      <c r="J459" s="4">
        <f>TRIM(Raw_Data!J459)</f>
        <v/>
      </c>
      <c r="K459" s="4">
        <f>Raw_Data!K459</f>
        <v/>
      </c>
      <c r="L459" s="4">
        <f>IF(TRIM(Raw_Data!L459)="","No Coupon",TRIM(Raw_Data!L459))</f>
        <v/>
      </c>
      <c r="M459" s="4">
        <f>PROPER(TRIM(Raw_Data!M459))</f>
        <v/>
      </c>
      <c r="N459" s="6">
        <f>ROUND(Raw_Data!N459,2)</f>
        <v/>
      </c>
      <c r="O459" s="7">
        <f>IF(COUNTIF($A$2:$A$1201,A459)&gt;1,"DUPLICATE","Unique")</f>
        <v/>
      </c>
      <c r="P459" s="7">
        <f>IF(COUNTIF($J$2:$J$1201,J459)&gt;1,"DUPLICATE","Unique")</f>
        <v/>
      </c>
      <c r="Q459" s="4">
        <f>IF(TRIM(Raw_Data!L459)="","Yes","No")</f>
        <v/>
      </c>
      <c r="R459" s="4">
        <f>IF(ISNUMBER(B459),"Valid","INVALID")</f>
        <v/>
      </c>
    </row>
    <row r="460">
      <c r="A460" s="4">
        <f>TRIM(Raw_Data!A460)</f>
        <v/>
      </c>
      <c r="B460" s="5">
        <f>Raw_Data!B460</f>
        <v/>
      </c>
      <c r="C460" s="4">
        <f>TRIM(Raw_Data!C460)</f>
        <v/>
      </c>
      <c r="D460" s="4">
        <f>PROPER(TRIM(Raw_Data!D460))</f>
        <v/>
      </c>
      <c r="E460" s="4">
        <f>Raw_Data!E460</f>
        <v/>
      </c>
      <c r="F460" s="6">
        <f>ROUND(Raw_Data!F460,2)</f>
        <v/>
      </c>
      <c r="G460" s="4">
        <f>PROPER(TRIM(Raw_Data!G460))</f>
        <v/>
      </c>
      <c r="H460" s="4">
        <f>PROPER(TRIM(Raw_Data!H460))</f>
        <v/>
      </c>
      <c r="I460" s="4">
        <f>PROPER(TRIM(Raw_Data!I460))</f>
        <v/>
      </c>
      <c r="J460" s="4">
        <f>TRIM(Raw_Data!J460)</f>
        <v/>
      </c>
      <c r="K460" s="4">
        <f>Raw_Data!K460</f>
        <v/>
      </c>
      <c r="L460" s="4">
        <f>IF(TRIM(Raw_Data!L460)="","No Coupon",TRIM(Raw_Data!L460))</f>
        <v/>
      </c>
      <c r="M460" s="4">
        <f>PROPER(TRIM(Raw_Data!M460))</f>
        <v/>
      </c>
      <c r="N460" s="6">
        <f>ROUND(Raw_Data!N460,2)</f>
        <v/>
      </c>
      <c r="O460" s="7">
        <f>IF(COUNTIF($A$2:$A$1201,A460)&gt;1,"DUPLICATE","Unique")</f>
        <v/>
      </c>
      <c r="P460" s="7">
        <f>IF(COUNTIF($J$2:$J$1201,J460)&gt;1,"DUPLICATE","Unique")</f>
        <v/>
      </c>
      <c r="Q460" s="4">
        <f>IF(TRIM(Raw_Data!L460)="","Yes","No")</f>
        <v/>
      </c>
      <c r="R460" s="4">
        <f>IF(ISNUMBER(B460),"Valid","INVALID")</f>
        <v/>
      </c>
    </row>
    <row r="461">
      <c r="A461" s="4">
        <f>TRIM(Raw_Data!A461)</f>
        <v/>
      </c>
      <c r="B461" s="5">
        <f>Raw_Data!B461</f>
        <v/>
      </c>
      <c r="C461" s="4">
        <f>TRIM(Raw_Data!C461)</f>
        <v/>
      </c>
      <c r="D461" s="4">
        <f>PROPER(TRIM(Raw_Data!D461))</f>
        <v/>
      </c>
      <c r="E461" s="4">
        <f>Raw_Data!E461</f>
        <v/>
      </c>
      <c r="F461" s="6">
        <f>ROUND(Raw_Data!F461,2)</f>
        <v/>
      </c>
      <c r="G461" s="4">
        <f>PROPER(TRIM(Raw_Data!G461))</f>
        <v/>
      </c>
      <c r="H461" s="4">
        <f>PROPER(TRIM(Raw_Data!H461))</f>
        <v/>
      </c>
      <c r="I461" s="4">
        <f>PROPER(TRIM(Raw_Data!I461))</f>
        <v/>
      </c>
      <c r="J461" s="4">
        <f>TRIM(Raw_Data!J461)</f>
        <v/>
      </c>
      <c r="K461" s="4">
        <f>Raw_Data!K461</f>
        <v/>
      </c>
      <c r="L461" s="4">
        <f>IF(TRIM(Raw_Data!L461)="","No Coupon",TRIM(Raw_Data!L461))</f>
        <v/>
      </c>
      <c r="M461" s="4">
        <f>PROPER(TRIM(Raw_Data!M461))</f>
        <v/>
      </c>
      <c r="N461" s="6">
        <f>ROUND(Raw_Data!N461,2)</f>
        <v/>
      </c>
      <c r="O461" s="7">
        <f>IF(COUNTIF($A$2:$A$1201,A461)&gt;1,"DUPLICATE","Unique")</f>
        <v/>
      </c>
      <c r="P461" s="7">
        <f>IF(COUNTIF($J$2:$J$1201,J461)&gt;1,"DUPLICATE","Unique")</f>
        <v/>
      </c>
      <c r="Q461" s="4">
        <f>IF(TRIM(Raw_Data!L461)="","Yes","No")</f>
        <v/>
      </c>
      <c r="R461" s="4">
        <f>IF(ISNUMBER(B461),"Valid","INVALID")</f>
        <v/>
      </c>
    </row>
    <row r="462">
      <c r="A462" s="4">
        <f>TRIM(Raw_Data!A462)</f>
        <v/>
      </c>
      <c r="B462" s="5">
        <f>Raw_Data!B462</f>
        <v/>
      </c>
      <c r="C462" s="4">
        <f>TRIM(Raw_Data!C462)</f>
        <v/>
      </c>
      <c r="D462" s="4">
        <f>PROPER(TRIM(Raw_Data!D462))</f>
        <v/>
      </c>
      <c r="E462" s="4">
        <f>Raw_Data!E462</f>
        <v/>
      </c>
      <c r="F462" s="6">
        <f>ROUND(Raw_Data!F462,2)</f>
        <v/>
      </c>
      <c r="G462" s="4">
        <f>PROPER(TRIM(Raw_Data!G462))</f>
        <v/>
      </c>
      <c r="H462" s="4">
        <f>PROPER(TRIM(Raw_Data!H462))</f>
        <v/>
      </c>
      <c r="I462" s="4">
        <f>PROPER(TRIM(Raw_Data!I462))</f>
        <v/>
      </c>
      <c r="J462" s="4">
        <f>TRIM(Raw_Data!J462)</f>
        <v/>
      </c>
      <c r="K462" s="4">
        <f>Raw_Data!K462</f>
        <v/>
      </c>
      <c r="L462" s="4">
        <f>IF(TRIM(Raw_Data!L462)="","No Coupon",TRIM(Raw_Data!L462))</f>
        <v/>
      </c>
      <c r="M462" s="4">
        <f>PROPER(TRIM(Raw_Data!M462))</f>
        <v/>
      </c>
      <c r="N462" s="6">
        <f>ROUND(Raw_Data!N462,2)</f>
        <v/>
      </c>
      <c r="O462" s="7">
        <f>IF(COUNTIF($A$2:$A$1201,A462)&gt;1,"DUPLICATE","Unique")</f>
        <v/>
      </c>
      <c r="P462" s="7">
        <f>IF(COUNTIF($J$2:$J$1201,J462)&gt;1,"DUPLICATE","Unique")</f>
        <v/>
      </c>
      <c r="Q462" s="4">
        <f>IF(TRIM(Raw_Data!L462)="","Yes","No")</f>
        <v/>
      </c>
      <c r="R462" s="4">
        <f>IF(ISNUMBER(B462),"Valid","INVALID")</f>
        <v/>
      </c>
    </row>
    <row r="463">
      <c r="A463" s="4">
        <f>TRIM(Raw_Data!A463)</f>
        <v/>
      </c>
      <c r="B463" s="5">
        <f>Raw_Data!B463</f>
        <v/>
      </c>
      <c r="C463" s="4">
        <f>TRIM(Raw_Data!C463)</f>
        <v/>
      </c>
      <c r="D463" s="4">
        <f>PROPER(TRIM(Raw_Data!D463))</f>
        <v/>
      </c>
      <c r="E463" s="4">
        <f>Raw_Data!E463</f>
        <v/>
      </c>
      <c r="F463" s="6">
        <f>ROUND(Raw_Data!F463,2)</f>
        <v/>
      </c>
      <c r="G463" s="4">
        <f>PROPER(TRIM(Raw_Data!G463))</f>
        <v/>
      </c>
      <c r="H463" s="4">
        <f>PROPER(TRIM(Raw_Data!H463))</f>
        <v/>
      </c>
      <c r="I463" s="4">
        <f>PROPER(TRIM(Raw_Data!I463))</f>
        <v/>
      </c>
      <c r="J463" s="4">
        <f>TRIM(Raw_Data!J463)</f>
        <v/>
      </c>
      <c r="K463" s="4">
        <f>Raw_Data!K463</f>
        <v/>
      </c>
      <c r="L463" s="4">
        <f>IF(TRIM(Raw_Data!L463)="","No Coupon",TRIM(Raw_Data!L463))</f>
        <v/>
      </c>
      <c r="M463" s="4">
        <f>PROPER(TRIM(Raw_Data!M463))</f>
        <v/>
      </c>
      <c r="N463" s="6">
        <f>ROUND(Raw_Data!N463,2)</f>
        <v/>
      </c>
      <c r="O463" s="7">
        <f>IF(COUNTIF($A$2:$A$1201,A463)&gt;1,"DUPLICATE","Unique")</f>
        <v/>
      </c>
      <c r="P463" s="7">
        <f>IF(COUNTIF($J$2:$J$1201,J463)&gt;1,"DUPLICATE","Unique")</f>
        <v/>
      </c>
      <c r="Q463" s="4">
        <f>IF(TRIM(Raw_Data!L463)="","Yes","No")</f>
        <v/>
      </c>
      <c r="R463" s="4">
        <f>IF(ISNUMBER(B463),"Valid","INVALID")</f>
        <v/>
      </c>
    </row>
    <row r="464">
      <c r="A464" s="4">
        <f>TRIM(Raw_Data!A464)</f>
        <v/>
      </c>
      <c r="B464" s="5">
        <f>Raw_Data!B464</f>
        <v/>
      </c>
      <c r="C464" s="4">
        <f>TRIM(Raw_Data!C464)</f>
        <v/>
      </c>
      <c r="D464" s="4">
        <f>PROPER(TRIM(Raw_Data!D464))</f>
        <v/>
      </c>
      <c r="E464" s="4">
        <f>Raw_Data!E464</f>
        <v/>
      </c>
      <c r="F464" s="6">
        <f>ROUND(Raw_Data!F464,2)</f>
        <v/>
      </c>
      <c r="G464" s="4">
        <f>PROPER(TRIM(Raw_Data!G464))</f>
        <v/>
      </c>
      <c r="H464" s="4">
        <f>PROPER(TRIM(Raw_Data!H464))</f>
        <v/>
      </c>
      <c r="I464" s="4">
        <f>PROPER(TRIM(Raw_Data!I464))</f>
        <v/>
      </c>
      <c r="J464" s="4">
        <f>TRIM(Raw_Data!J464)</f>
        <v/>
      </c>
      <c r="K464" s="4">
        <f>Raw_Data!K464</f>
        <v/>
      </c>
      <c r="L464" s="4">
        <f>IF(TRIM(Raw_Data!L464)="","No Coupon",TRIM(Raw_Data!L464))</f>
        <v/>
      </c>
      <c r="M464" s="4">
        <f>PROPER(TRIM(Raw_Data!M464))</f>
        <v/>
      </c>
      <c r="N464" s="6">
        <f>ROUND(Raw_Data!N464,2)</f>
        <v/>
      </c>
      <c r="O464" s="7">
        <f>IF(COUNTIF($A$2:$A$1201,A464)&gt;1,"DUPLICATE","Unique")</f>
        <v/>
      </c>
      <c r="P464" s="7">
        <f>IF(COUNTIF($J$2:$J$1201,J464)&gt;1,"DUPLICATE","Unique")</f>
        <v/>
      </c>
      <c r="Q464" s="4">
        <f>IF(TRIM(Raw_Data!L464)="","Yes","No")</f>
        <v/>
      </c>
      <c r="R464" s="4">
        <f>IF(ISNUMBER(B464),"Valid","INVALID")</f>
        <v/>
      </c>
    </row>
    <row r="465">
      <c r="A465" s="4">
        <f>TRIM(Raw_Data!A465)</f>
        <v/>
      </c>
      <c r="B465" s="5">
        <f>Raw_Data!B465</f>
        <v/>
      </c>
      <c r="C465" s="4">
        <f>TRIM(Raw_Data!C465)</f>
        <v/>
      </c>
      <c r="D465" s="4">
        <f>PROPER(TRIM(Raw_Data!D465))</f>
        <v/>
      </c>
      <c r="E465" s="4">
        <f>Raw_Data!E465</f>
        <v/>
      </c>
      <c r="F465" s="6">
        <f>ROUND(Raw_Data!F465,2)</f>
        <v/>
      </c>
      <c r="G465" s="4">
        <f>PROPER(TRIM(Raw_Data!G465))</f>
        <v/>
      </c>
      <c r="H465" s="4">
        <f>PROPER(TRIM(Raw_Data!H465))</f>
        <v/>
      </c>
      <c r="I465" s="4">
        <f>PROPER(TRIM(Raw_Data!I465))</f>
        <v/>
      </c>
      <c r="J465" s="4">
        <f>TRIM(Raw_Data!J465)</f>
        <v/>
      </c>
      <c r="K465" s="4">
        <f>Raw_Data!K465</f>
        <v/>
      </c>
      <c r="L465" s="4">
        <f>IF(TRIM(Raw_Data!L465)="","No Coupon",TRIM(Raw_Data!L465))</f>
        <v/>
      </c>
      <c r="M465" s="4">
        <f>PROPER(TRIM(Raw_Data!M465))</f>
        <v/>
      </c>
      <c r="N465" s="6">
        <f>ROUND(Raw_Data!N465,2)</f>
        <v/>
      </c>
      <c r="O465" s="7">
        <f>IF(COUNTIF($A$2:$A$1201,A465)&gt;1,"DUPLICATE","Unique")</f>
        <v/>
      </c>
      <c r="P465" s="7">
        <f>IF(COUNTIF($J$2:$J$1201,J465)&gt;1,"DUPLICATE","Unique")</f>
        <v/>
      </c>
      <c r="Q465" s="4">
        <f>IF(TRIM(Raw_Data!L465)="","Yes","No")</f>
        <v/>
      </c>
      <c r="R465" s="4">
        <f>IF(ISNUMBER(B465),"Valid","INVALID")</f>
        <v/>
      </c>
    </row>
    <row r="466">
      <c r="A466" s="4">
        <f>TRIM(Raw_Data!A466)</f>
        <v/>
      </c>
      <c r="B466" s="5">
        <f>Raw_Data!B466</f>
        <v/>
      </c>
      <c r="C466" s="4">
        <f>TRIM(Raw_Data!C466)</f>
        <v/>
      </c>
      <c r="D466" s="4">
        <f>PROPER(TRIM(Raw_Data!D466))</f>
        <v/>
      </c>
      <c r="E466" s="4">
        <f>Raw_Data!E466</f>
        <v/>
      </c>
      <c r="F466" s="6">
        <f>ROUND(Raw_Data!F466,2)</f>
        <v/>
      </c>
      <c r="G466" s="4">
        <f>PROPER(TRIM(Raw_Data!G466))</f>
        <v/>
      </c>
      <c r="H466" s="4">
        <f>PROPER(TRIM(Raw_Data!H466))</f>
        <v/>
      </c>
      <c r="I466" s="4">
        <f>PROPER(TRIM(Raw_Data!I466))</f>
        <v/>
      </c>
      <c r="J466" s="4">
        <f>TRIM(Raw_Data!J466)</f>
        <v/>
      </c>
      <c r="K466" s="4">
        <f>Raw_Data!K466</f>
        <v/>
      </c>
      <c r="L466" s="4">
        <f>IF(TRIM(Raw_Data!L466)="","No Coupon",TRIM(Raw_Data!L466))</f>
        <v/>
      </c>
      <c r="M466" s="4">
        <f>PROPER(TRIM(Raw_Data!M466))</f>
        <v/>
      </c>
      <c r="N466" s="6">
        <f>ROUND(Raw_Data!N466,2)</f>
        <v/>
      </c>
      <c r="O466" s="7">
        <f>IF(COUNTIF($A$2:$A$1201,A466)&gt;1,"DUPLICATE","Unique")</f>
        <v/>
      </c>
      <c r="P466" s="7">
        <f>IF(COUNTIF($J$2:$J$1201,J466)&gt;1,"DUPLICATE","Unique")</f>
        <v/>
      </c>
      <c r="Q466" s="4">
        <f>IF(TRIM(Raw_Data!L466)="","Yes","No")</f>
        <v/>
      </c>
      <c r="R466" s="4">
        <f>IF(ISNUMBER(B466),"Valid","INVALID")</f>
        <v/>
      </c>
    </row>
    <row r="467">
      <c r="A467" s="4">
        <f>TRIM(Raw_Data!A467)</f>
        <v/>
      </c>
      <c r="B467" s="5">
        <f>Raw_Data!B467</f>
        <v/>
      </c>
      <c r="C467" s="4">
        <f>TRIM(Raw_Data!C467)</f>
        <v/>
      </c>
      <c r="D467" s="4">
        <f>PROPER(TRIM(Raw_Data!D467))</f>
        <v/>
      </c>
      <c r="E467" s="4">
        <f>Raw_Data!E467</f>
        <v/>
      </c>
      <c r="F467" s="6">
        <f>ROUND(Raw_Data!F467,2)</f>
        <v/>
      </c>
      <c r="G467" s="4">
        <f>PROPER(TRIM(Raw_Data!G467))</f>
        <v/>
      </c>
      <c r="H467" s="4">
        <f>PROPER(TRIM(Raw_Data!H467))</f>
        <v/>
      </c>
      <c r="I467" s="4">
        <f>PROPER(TRIM(Raw_Data!I467))</f>
        <v/>
      </c>
      <c r="J467" s="4">
        <f>TRIM(Raw_Data!J467)</f>
        <v/>
      </c>
      <c r="K467" s="4">
        <f>Raw_Data!K467</f>
        <v/>
      </c>
      <c r="L467" s="4">
        <f>IF(TRIM(Raw_Data!L467)="","No Coupon",TRIM(Raw_Data!L467))</f>
        <v/>
      </c>
      <c r="M467" s="4">
        <f>PROPER(TRIM(Raw_Data!M467))</f>
        <v/>
      </c>
      <c r="N467" s="6">
        <f>ROUND(Raw_Data!N467,2)</f>
        <v/>
      </c>
      <c r="O467" s="7">
        <f>IF(COUNTIF($A$2:$A$1201,A467)&gt;1,"DUPLICATE","Unique")</f>
        <v/>
      </c>
      <c r="P467" s="7">
        <f>IF(COUNTIF($J$2:$J$1201,J467)&gt;1,"DUPLICATE","Unique")</f>
        <v/>
      </c>
      <c r="Q467" s="4">
        <f>IF(TRIM(Raw_Data!L467)="","Yes","No")</f>
        <v/>
      </c>
      <c r="R467" s="4">
        <f>IF(ISNUMBER(B467),"Valid","INVALID")</f>
        <v/>
      </c>
    </row>
    <row r="468">
      <c r="A468" s="4">
        <f>TRIM(Raw_Data!A468)</f>
        <v/>
      </c>
      <c r="B468" s="5">
        <f>Raw_Data!B468</f>
        <v/>
      </c>
      <c r="C468" s="4">
        <f>TRIM(Raw_Data!C468)</f>
        <v/>
      </c>
      <c r="D468" s="4">
        <f>PROPER(TRIM(Raw_Data!D468))</f>
        <v/>
      </c>
      <c r="E468" s="4">
        <f>Raw_Data!E468</f>
        <v/>
      </c>
      <c r="F468" s="6">
        <f>ROUND(Raw_Data!F468,2)</f>
        <v/>
      </c>
      <c r="G468" s="4">
        <f>PROPER(TRIM(Raw_Data!G468))</f>
        <v/>
      </c>
      <c r="H468" s="4">
        <f>PROPER(TRIM(Raw_Data!H468))</f>
        <v/>
      </c>
      <c r="I468" s="4">
        <f>PROPER(TRIM(Raw_Data!I468))</f>
        <v/>
      </c>
      <c r="J468" s="4">
        <f>TRIM(Raw_Data!J468)</f>
        <v/>
      </c>
      <c r="K468" s="4">
        <f>Raw_Data!K468</f>
        <v/>
      </c>
      <c r="L468" s="4">
        <f>IF(TRIM(Raw_Data!L468)="","No Coupon",TRIM(Raw_Data!L468))</f>
        <v/>
      </c>
      <c r="M468" s="4">
        <f>PROPER(TRIM(Raw_Data!M468))</f>
        <v/>
      </c>
      <c r="N468" s="6">
        <f>ROUND(Raw_Data!N468,2)</f>
        <v/>
      </c>
      <c r="O468" s="7">
        <f>IF(COUNTIF($A$2:$A$1201,A468)&gt;1,"DUPLICATE","Unique")</f>
        <v/>
      </c>
      <c r="P468" s="7">
        <f>IF(COUNTIF($J$2:$J$1201,J468)&gt;1,"DUPLICATE","Unique")</f>
        <v/>
      </c>
      <c r="Q468" s="4">
        <f>IF(TRIM(Raw_Data!L468)="","Yes","No")</f>
        <v/>
      </c>
      <c r="R468" s="4">
        <f>IF(ISNUMBER(B468),"Valid","INVALID")</f>
        <v/>
      </c>
    </row>
    <row r="469">
      <c r="A469" s="4">
        <f>TRIM(Raw_Data!A469)</f>
        <v/>
      </c>
      <c r="B469" s="5">
        <f>Raw_Data!B469</f>
        <v/>
      </c>
      <c r="C469" s="4">
        <f>TRIM(Raw_Data!C469)</f>
        <v/>
      </c>
      <c r="D469" s="4">
        <f>PROPER(TRIM(Raw_Data!D469))</f>
        <v/>
      </c>
      <c r="E469" s="4">
        <f>Raw_Data!E469</f>
        <v/>
      </c>
      <c r="F469" s="6">
        <f>ROUND(Raw_Data!F469,2)</f>
        <v/>
      </c>
      <c r="G469" s="4">
        <f>PROPER(TRIM(Raw_Data!G469))</f>
        <v/>
      </c>
      <c r="H469" s="4">
        <f>PROPER(TRIM(Raw_Data!H469))</f>
        <v/>
      </c>
      <c r="I469" s="4">
        <f>PROPER(TRIM(Raw_Data!I469))</f>
        <v/>
      </c>
      <c r="J469" s="4">
        <f>TRIM(Raw_Data!J469)</f>
        <v/>
      </c>
      <c r="K469" s="4">
        <f>Raw_Data!K469</f>
        <v/>
      </c>
      <c r="L469" s="4">
        <f>IF(TRIM(Raw_Data!L469)="","No Coupon",TRIM(Raw_Data!L469))</f>
        <v/>
      </c>
      <c r="M469" s="4">
        <f>PROPER(TRIM(Raw_Data!M469))</f>
        <v/>
      </c>
      <c r="N469" s="6">
        <f>ROUND(Raw_Data!N469,2)</f>
        <v/>
      </c>
      <c r="O469" s="7">
        <f>IF(COUNTIF($A$2:$A$1201,A469)&gt;1,"DUPLICATE","Unique")</f>
        <v/>
      </c>
      <c r="P469" s="7">
        <f>IF(COUNTIF($J$2:$J$1201,J469)&gt;1,"DUPLICATE","Unique")</f>
        <v/>
      </c>
      <c r="Q469" s="4">
        <f>IF(TRIM(Raw_Data!L469)="","Yes","No")</f>
        <v/>
      </c>
      <c r="R469" s="4">
        <f>IF(ISNUMBER(B469),"Valid","INVALID")</f>
        <v/>
      </c>
    </row>
    <row r="470">
      <c r="A470" s="4">
        <f>TRIM(Raw_Data!A470)</f>
        <v/>
      </c>
      <c r="B470" s="5">
        <f>Raw_Data!B470</f>
        <v/>
      </c>
      <c r="C470" s="4">
        <f>TRIM(Raw_Data!C470)</f>
        <v/>
      </c>
      <c r="D470" s="4">
        <f>PROPER(TRIM(Raw_Data!D470))</f>
        <v/>
      </c>
      <c r="E470" s="4">
        <f>Raw_Data!E470</f>
        <v/>
      </c>
      <c r="F470" s="6">
        <f>ROUND(Raw_Data!F470,2)</f>
        <v/>
      </c>
      <c r="G470" s="4">
        <f>PROPER(TRIM(Raw_Data!G470))</f>
        <v/>
      </c>
      <c r="H470" s="4">
        <f>PROPER(TRIM(Raw_Data!H470))</f>
        <v/>
      </c>
      <c r="I470" s="4">
        <f>PROPER(TRIM(Raw_Data!I470))</f>
        <v/>
      </c>
      <c r="J470" s="4">
        <f>TRIM(Raw_Data!J470)</f>
        <v/>
      </c>
      <c r="K470" s="4">
        <f>Raw_Data!K470</f>
        <v/>
      </c>
      <c r="L470" s="4">
        <f>IF(TRIM(Raw_Data!L470)="","No Coupon",TRIM(Raw_Data!L470))</f>
        <v/>
      </c>
      <c r="M470" s="4">
        <f>PROPER(TRIM(Raw_Data!M470))</f>
        <v/>
      </c>
      <c r="N470" s="6">
        <f>ROUND(Raw_Data!N470,2)</f>
        <v/>
      </c>
      <c r="O470" s="7">
        <f>IF(COUNTIF($A$2:$A$1201,A470)&gt;1,"DUPLICATE","Unique")</f>
        <v/>
      </c>
      <c r="P470" s="7">
        <f>IF(COUNTIF($J$2:$J$1201,J470)&gt;1,"DUPLICATE","Unique")</f>
        <v/>
      </c>
      <c r="Q470" s="4">
        <f>IF(TRIM(Raw_Data!L470)="","Yes","No")</f>
        <v/>
      </c>
      <c r="R470" s="4">
        <f>IF(ISNUMBER(B470),"Valid","INVALID")</f>
        <v/>
      </c>
    </row>
    <row r="471">
      <c r="A471" s="4">
        <f>TRIM(Raw_Data!A471)</f>
        <v/>
      </c>
      <c r="B471" s="5">
        <f>Raw_Data!B471</f>
        <v/>
      </c>
      <c r="C471" s="4">
        <f>TRIM(Raw_Data!C471)</f>
        <v/>
      </c>
      <c r="D471" s="4">
        <f>PROPER(TRIM(Raw_Data!D471))</f>
        <v/>
      </c>
      <c r="E471" s="4">
        <f>Raw_Data!E471</f>
        <v/>
      </c>
      <c r="F471" s="6">
        <f>ROUND(Raw_Data!F471,2)</f>
        <v/>
      </c>
      <c r="G471" s="4">
        <f>PROPER(TRIM(Raw_Data!G471))</f>
        <v/>
      </c>
      <c r="H471" s="4">
        <f>PROPER(TRIM(Raw_Data!H471))</f>
        <v/>
      </c>
      <c r="I471" s="4">
        <f>PROPER(TRIM(Raw_Data!I471))</f>
        <v/>
      </c>
      <c r="J471" s="4">
        <f>TRIM(Raw_Data!J471)</f>
        <v/>
      </c>
      <c r="K471" s="4">
        <f>Raw_Data!K471</f>
        <v/>
      </c>
      <c r="L471" s="4">
        <f>IF(TRIM(Raw_Data!L471)="","No Coupon",TRIM(Raw_Data!L471))</f>
        <v/>
      </c>
      <c r="M471" s="4">
        <f>PROPER(TRIM(Raw_Data!M471))</f>
        <v/>
      </c>
      <c r="N471" s="6">
        <f>ROUND(Raw_Data!N471,2)</f>
        <v/>
      </c>
      <c r="O471" s="7">
        <f>IF(COUNTIF($A$2:$A$1201,A471)&gt;1,"DUPLICATE","Unique")</f>
        <v/>
      </c>
      <c r="P471" s="7">
        <f>IF(COUNTIF($J$2:$J$1201,J471)&gt;1,"DUPLICATE","Unique")</f>
        <v/>
      </c>
      <c r="Q471" s="4">
        <f>IF(TRIM(Raw_Data!L471)="","Yes","No")</f>
        <v/>
      </c>
      <c r="R471" s="4">
        <f>IF(ISNUMBER(B471),"Valid","INVALID")</f>
        <v/>
      </c>
    </row>
    <row r="472">
      <c r="A472" s="4">
        <f>TRIM(Raw_Data!A472)</f>
        <v/>
      </c>
      <c r="B472" s="5">
        <f>Raw_Data!B472</f>
        <v/>
      </c>
      <c r="C472" s="4">
        <f>TRIM(Raw_Data!C472)</f>
        <v/>
      </c>
      <c r="D472" s="4">
        <f>PROPER(TRIM(Raw_Data!D472))</f>
        <v/>
      </c>
      <c r="E472" s="4">
        <f>Raw_Data!E472</f>
        <v/>
      </c>
      <c r="F472" s="6">
        <f>ROUND(Raw_Data!F472,2)</f>
        <v/>
      </c>
      <c r="G472" s="4">
        <f>PROPER(TRIM(Raw_Data!G472))</f>
        <v/>
      </c>
      <c r="H472" s="4">
        <f>PROPER(TRIM(Raw_Data!H472))</f>
        <v/>
      </c>
      <c r="I472" s="4">
        <f>PROPER(TRIM(Raw_Data!I472))</f>
        <v/>
      </c>
      <c r="J472" s="4">
        <f>TRIM(Raw_Data!J472)</f>
        <v/>
      </c>
      <c r="K472" s="4">
        <f>Raw_Data!K472</f>
        <v/>
      </c>
      <c r="L472" s="4">
        <f>IF(TRIM(Raw_Data!L472)="","No Coupon",TRIM(Raw_Data!L472))</f>
        <v/>
      </c>
      <c r="M472" s="4">
        <f>PROPER(TRIM(Raw_Data!M472))</f>
        <v/>
      </c>
      <c r="N472" s="6">
        <f>ROUND(Raw_Data!N472,2)</f>
        <v/>
      </c>
      <c r="O472" s="7">
        <f>IF(COUNTIF($A$2:$A$1201,A472)&gt;1,"DUPLICATE","Unique")</f>
        <v/>
      </c>
      <c r="P472" s="7">
        <f>IF(COUNTIF($J$2:$J$1201,J472)&gt;1,"DUPLICATE","Unique")</f>
        <v/>
      </c>
      <c r="Q472" s="4">
        <f>IF(TRIM(Raw_Data!L472)="","Yes","No")</f>
        <v/>
      </c>
      <c r="R472" s="4">
        <f>IF(ISNUMBER(B472),"Valid","INVALID")</f>
        <v/>
      </c>
    </row>
    <row r="473">
      <c r="A473" s="4">
        <f>TRIM(Raw_Data!A473)</f>
        <v/>
      </c>
      <c r="B473" s="5">
        <f>Raw_Data!B473</f>
        <v/>
      </c>
      <c r="C473" s="4">
        <f>TRIM(Raw_Data!C473)</f>
        <v/>
      </c>
      <c r="D473" s="4">
        <f>PROPER(TRIM(Raw_Data!D473))</f>
        <v/>
      </c>
      <c r="E473" s="4">
        <f>Raw_Data!E473</f>
        <v/>
      </c>
      <c r="F473" s="6">
        <f>ROUND(Raw_Data!F473,2)</f>
        <v/>
      </c>
      <c r="G473" s="4">
        <f>PROPER(TRIM(Raw_Data!G473))</f>
        <v/>
      </c>
      <c r="H473" s="4">
        <f>PROPER(TRIM(Raw_Data!H473))</f>
        <v/>
      </c>
      <c r="I473" s="4">
        <f>PROPER(TRIM(Raw_Data!I473))</f>
        <v/>
      </c>
      <c r="J473" s="4">
        <f>TRIM(Raw_Data!J473)</f>
        <v/>
      </c>
      <c r="K473" s="4">
        <f>Raw_Data!K473</f>
        <v/>
      </c>
      <c r="L473" s="4">
        <f>IF(TRIM(Raw_Data!L473)="","No Coupon",TRIM(Raw_Data!L473))</f>
        <v/>
      </c>
      <c r="M473" s="4">
        <f>PROPER(TRIM(Raw_Data!M473))</f>
        <v/>
      </c>
      <c r="N473" s="6">
        <f>ROUND(Raw_Data!N473,2)</f>
        <v/>
      </c>
      <c r="O473" s="7">
        <f>IF(COUNTIF($A$2:$A$1201,A473)&gt;1,"DUPLICATE","Unique")</f>
        <v/>
      </c>
      <c r="P473" s="7">
        <f>IF(COUNTIF($J$2:$J$1201,J473)&gt;1,"DUPLICATE","Unique")</f>
        <v/>
      </c>
      <c r="Q473" s="4">
        <f>IF(TRIM(Raw_Data!L473)="","Yes","No")</f>
        <v/>
      </c>
      <c r="R473" s="4">
        <f>IF(ISNUMBER(B473),"Valid","INVALID")</f>
        <v/>
      </c>
    </row>
    <row r="474">
      <c r="A474" s="4">
        <f>TRIM(Raw_Data!A474)</f>
        <v/>
      </c>
      <c r="B474" s="5">
        <f>Raw_Data!B474</f>
        <v/>
      </c>
      <c r="C474" s="4">
        <f>TRIM(Raw_Data!C474)</f>
        <v/>
      </c>
      <c r="D474" s="4">
        <f>PROPER(TRIM(Raw_Data!D474))</f>
        <v/>
      </c>
      <c r="E474" s="4">
        <f>Raw_Data!E474</f>
        <v/>
      </c>
      <c r="F474" s="6">
        <f>ROUND(Raw_Data!F474,2)</f>
        <v/>
      </c>
      <c r="G474" s="4">
        <f>PROPER(TRIM(Raw_Data!G474))</f>
        <v/>
      </c>
      <c r="H474" s="4">
        <f>PROPER(TRIM(Raw_Data!H474))</f>
        <v/>
      </c>
      <c r="I474" s="4">
        <f>PROPER(TRIM(Raw_Data!I474))</f>
        <v/>
      </c>
      <c r="J474" s="4">
        <f>TRIM(Raw_Data!J474)</f>
        <v/>
      </c>
      <c r="K474" s="4">
        <f>Raw_Data!K474</f>
        <v/>
      </c>
      <c r="L474" s="4">
        <f>IF(TRIM(Raw_Data!L474)="","No Coupon",TRIM(Raw_Data!L474))</f>
        <v/>
      </c>
      <c r="M474" s="4">
        <f>PROPER(TRIM(Raw_Data!M474))</f>
        <v/>
      </c>
      <c r="N474" s="6">
        <f>ROUND(Raw_Data!N474,2)</f>
        <v/>
      </c>
      <c r="O474" s="7">
        <f>IF(COUNTIF($A$2:$A$1201,A474)&gt;1,"DUPLICATE","Unique")</f>
        <v/>
      </c>
      <c r="P474" s="7">
        <f>IF(COUNTIF($J$2:$J$1201,J474)&gt;1,"DUPLICATE","Unique")</f>
        <v/>
      </c>
      <c r="Q474" s="4">
        <f>IF(TRIM(Raw_Data!L474)="","Yes","No")</f>
        <v/>
      </c>
      <c r="R474" s="4">
        <f>IF(ISNUMBER(B474),"Valid","INVALID")</f>
        <v/>
      </c>
    </row>
    <row r="475">
      <c r="A475" s="4">
        <f>TRIM(Raw_Data!A475)</f>
        <v/>
      </c>
      <c r="B475" s="5">
        <f>Raw_Data!B475</f>
        <v/>
      </c>
      <c r="C475" s="4">
        <f>TRIM(Raw_Data!C475)</f>
        <v/>
      </c>
      <c r="D475" s="4">
        <f>PROPER(TRIM(Raw_Data!D475))</f>
        <v/>
      </c>
      <c r="E475" s="4">
        <f>Raw_Data!E475</f>
        <v/>
      </c>
      <c r="F475" s="6">
        <f>ROUND(Raw_Data!F475,2)</f>
        <v/>
      </c>
      <c r="G475" s="4">
        <f>PROPER(TRIM(Raw_Data!G475))</f>
        <v/>
      </c>
      <c r="H475" s="4">
        <f>PROPER(TRIM(Raw_Data!H475))</f>
        <v/>
      </c>
      <c r="I475" s="4">
        <f>PROPER(TRIM(Raw_Data!I475))</f>
        <v/>
      </c>
      <c r="J475" s="4">
        <f>TRIM(Raw_Data!J475)</f>
        <v/>
      </c>
      <c r="K475" s="4">
        <f>Raw_Data!K475</f>
        <v/>
      </c>
      <c r="L475" s="4">
        <f>IF(TRIM(Raw_Data!L475)="","No Coupon",TRIM(Raw_Data!L475))</f>
        <v/>
      </c>
      <c r="M475" s="4">
        <f>PROPER(TRIM(Raw_Data!M475))</f>
        <v/>
      </c>
      <c r="N475" s="6">
        <f>ROUND(Raw_Data!N475,2)</f>
        <v/>
      </c>
      <c r="O475" s="7">
        <f>IF(COUNTIF($A$2:$A$1201,A475)&gt;1,"DUPLICATE","Unique")</f>
        <v/>
      </c>
      <c r="P475" s="7">
        <f>IF(COUNTIF($J$2:$J$1201,J475)&gt;1,"DUPLICATE","Unique")</f>
        <v/>
      </c>
      <c r="Q475" s="4">
        <f>IF(TRIM(Raw_Data!L475)="","Yes","No")</f>
        <v/>
      </c>
      <c r="R475" s="4">
        <f>IF(ISNUMBER(B475),"Valid","INVALID")</f>
        <v/>
      </c>
    </row>
    <row r="476">
      <c r="A476" s="4">
        <f>TRIM(Raw_Data!A476)</f>
        <v/>
      </c>
      <c r="B476" s="5">
        <f>Raw_Data!B476</f>
        <v/>
      </c>
      <c r="C476" s="4">
        <f>TRIM(Raw_Data!C476)</f>
        <v/>
      </c>
      <c r="D476" s="4">
        <f>PROPER(TRIM(Raw_Data!D476))</f>
        <v/>
      </c>
      <c r="E476" s="4">
        <f>Raw_Data!E476</f>
        <v/>
      </c>
      <c r="F476" s="6">
        <f>ROUND(Raw_Data!F476,2)</f>
        <v/>
      </c>
      <c r="G476" s="4">
        <f>PROPER(TRIM(Raw_Data!G476))</f>
        <v/>
      </c>
      <c r="H476" s="4">
        <f>PROPER(TRIM(Raw_Data!H476))</f>
        <v/>
      </c>
      <c r="I476" s="4">
        <f>PROPER(TRIM(Raw_Data!I476))</f>
        <v/>
      </c>
      <c r="J476" s="4">
        <f>TRIM(Raw_Data!J476)</f>
        <v/>
      </c>
      <c r="K476" s="4">
        <f>Raw_Data!K476</f>
        <v/>
      </c>
      <c r="L476" s="4">
        <f>IF(TRIM(Raw_Data!L476)="","No Coupon",TRIM(Raw_Data!L476))</f>
        <v/>
      </c>
      <c r="M476" s="4">
        <f>PROPER(TRIM(Raw_Data!M476))</f>
        <v/>
      </c>
      <c r="N476" s="6">
        <f>ROUND(Raw_Data!N476,2)</f>
        <v/>
      </c>
      <c r="O476" s="7">
        <f>IF(COUNTIF($A$2:$A$1201,A476)&gt;1,"DUPLICATE","Unique")</f>
        <v/>
      </c>
      <c r="P476" s="7">
        <f>IF(COUNTIF($J$2:$J$1201,J476)&gt;1,"DUPLICATE","Unique")</f>
        <v/>
      </c>
      <c r="Q476" s="4">
        <f>IF(TRIM(Raw_Data!L476)="","Yes","No")</f>
        <v/>
      </c>
      <c r="R476" s="4">
        <f>IF(ISNUMBER(B476),"Valid","INVALID")</f>
        <v/>
      </c>
    </row>
    <row r="477">
      <c r="A477" s="4">
        <f>TRIM(Raw_Data!A477)</f>
        <v/>
      </c>
      <c r="B477" s="5">
        <f>Raw_Data!B477</f>
        <v/>
      </c>
      <c r="C477" s="4">
        <f>TRIM(Raw_Data!C477)</f>
        <v/>
      </c>
      <c r="D477" s="4">
        <f>PROPER(TRIM(Raw_Data!D477))</f>
        <v/>
      </c>
      <c r="E477" s="4">
        <f>Raw_Data!E477</f>
        <v/>
      </c>
      <c r="F477" s="6">
        <f>ROUND(Raw_Data!F477,2)</f>
        <v/>
      </c>
      <c r="G477" s="4">
        <f>PROPER(TRIM(Raw_Data!G477))</f>
        <v/>
      </c>
      <c r="H477" s="4">
        <f>PROPER(TRIM(Raw_Data!H477))</f>
        <v/>
      </c>
      <c r="I477" s="4">
        <f>PROPER(TRIM(Raw_Data!I477))</f>
        <v/>
      </c>
      <c r="J477" s="4">
        <f>TRIM(Raw_Data!J477)</f>
        <v/>
      </c>
      <c r="K477" s="4">
        <f>Raw_Data!K477</f>
        <v/>
      </c>
      <c r="L477" s="4">
        <f>IF(TRIM(Raw_Data!L477)="","No Coupon",TRIM(Raw_Data!L477))</f>
        <v/>
      </c>
      <c r="M477" s="4">
        <f>PROPER(TRIM(Raw_Data!M477))</f>
        <v/>
      </c>
      <c r="N477" s="6">
        <f>ROUND(Raw_Data!N477,2)</f>
        <v/>
      </c>
      <c r="O477" s="7">
        <f>IF(COUNTIF($A$2:$A$1201,A477)&gt;1,"DUPLICATE","Unique")</f>
        <v/>
      </c>
      <c r="P477" s="7">
        <f>IF(COUNTIF($J$2:$J$1201,J477)&gt;1,"DUPLICATE","Unique")</f>
        <v/>
      </c>
      <c r="Q477" s="4">
        <f>IF(TRIM(Raw_Data!L477)="","Yes","No")</f>
        <v/>
      </c>
      <c r="R477" s="4">
        <f>IF(ISNUMBER(B477),"Valid","INVALID")</f>
        <v/>
      </c>
    </row>
    <row r="478">
      <c r="A478" s="4">
        <f>TRIM(Raw_Data!A478)</f>
        <v/>
      </c>
      <c r="B478" s="5">
        <f>Raw_Data!B478</f>
        <v/>
      </c>
      <c r="C478" s="4">
        <f>TRIM(Raw_Data!C478)</f>
        <v/>
      </c>
      <c r="D478" s="4">
        <f>PROPER(TRIM(Raw_Data!D478))</f>
        <v/>
      </c>
      <c r="E478" s="4">
        <f>Raw_Data!E478</f>
        <v/>
      </c>
      <c r="F478" s="6">
        <f>ROUND(Raw_Data!F478,2)</f>
        <v/>
      </c>
      <c r="G478" s="4">
        <f>PROPER(TRIM(Raw_Data!G478))</f>
        <v/>
      </c>
      <c r="H478" s="4">
        <f>PROPER(TRIM(Raw_Data!H478))</f>
        <v/>
      </c>
      <c r="I478" s="4">
        <f>PROPER(TRIM(Raw_Data!I478))</f>
        <v/>
      </c>
      <c r="J478" s="4">
        <f>TRIM(Raw_Data!J478)</f>
        <v/>
      </c>
      <c r="K478" s="4">
        <f>Raw_Data!K478</f>
        <v/>
      </c>
      <c r="L478" s="4">
        <f>IF(TRIM(Raw_Data!L478)="","No Coupon",TRIM(Raw_Data!L478))</f>
        <v/>
      </c>
      <c r="M478" s="4">
        <f>PROPER(TRIM(Raw_Data!M478))</f>
        <v/>
      </c>
      <c r="N478" s="6">
        <f>ROUND(Raw_Data!N478,2)</f>
        <v/>
      </c>
      <c r="O478" s="7">
        <f>IF(COUNTIF($A$2:$A$1201,A478)&gt;1,"DUPLICATE","Unique")</f>
        <v/>
      </c>
      <c r="P478" s="7">
        <f>IF(COUNTIF($J$2:$J$1201,J478)&gt;1,"DUPLICATE","Unique")</f>
        <v/>
      </c>
      <c r="Q478" s="4">
        <f>IF(TRIM(Raw_Data!L478)="","Yes","No")</f>
        <v/>
      </c>
      <c r="R478" s="4">
        <f>IF(ISNUMBER(B478),"Valid","INVALID")</f>
        <v/>
      </c>
    </row>
    <row r="479">
      <c r="A479" s="4">
        <f>TRIM(Raw_Data!A479)</f>
        <v/>
      </c>
      <c r="B479" s="5">
        <f>Raw_Data!B479</f>
        <v/>
      </c>
      <c r="C479" s="4">
        <f>TRIM(Raw_Data!C479)</f>
        <v/>
      </c>
      <c r="D479" s="4">
        <f>PROPER(TRIM(Raw_Data!D479))</f>
        <v/>
      </c>
      <c r="E479" s="4">
        <f>Raw_Data!E479</f>
        <v/>
      </c>
      <c r="F479" s="6">
        <f>ROUND(Raw_Data!F479,2)</f>
        <v/>
      </c>
      <c r="G479" s="4">
        <f>PROPER(TRIM(Raw_Data!G479))</f>
        <v/>
      </c>
      <c r="H479" s="4">
        <f>PROPER(TRIM(Raw_Data!H479))</f>
        <v/>
      </c>
      <c r="I479" s="4">
        <f>PROPER(TRIM(Raw_Data!I479))</f>
        <v/>
      </c>
      <c r="J479" s="4">
        <f>TRIM(Raw_Data!J479)</f>
        <v/>
      </c>
      <c r="K479" s="4">
        <f>Raw_Data!K479</f>
        <v/>
      </c>
      <c r="L479" s="4">
        <f>IF(TRIM(Raw_Data!L479)="","No Coupon",TRIM(Raw_Data!L479))</f>
        <v/>
      </c>
      <c r="M479" s="4">
        <f>PROPER(TRIM(Raw_Data!M479))</f>
        <v/>
      </c>
      <c r="N479" s="6">
        <f>ROUND(Raw_Data!N479,2)</f>
        <v/>
      </c>
      <c r="O479" s="7">
        <f>IF(COUNTIF($A$2:$A$1201,A479)&gt;1,"DUPLICATE","Unique")</f>
        <v/>
      </c>
      <c r="P479" s="7">
        <f>IF(COUNTIF($J$2:$J$1201,J479)&gt;1,"DUPLICATE","Unique")</f>
        <v/>
      </c>
      <c r="Q479" s="4">
        <f>IF(TRIM(Raw_Data!L479)="","Yes","No")</f>
        <v/>
      </c>
      <c r="R479" s="4">
        <f>IF(ISNUMBER(B479),"Valid","INVALID")</f>
        <v/>
      </c>
    </row>
    <row r="480">
      <c r="A480" s="4">
        <f>TRIM(Raw_Data!A480)</f>
        <v/>
      </c>
      <c r="B480" s="5">
        <f>Raw_Data!B480</f>
        <v/>
      </c>
      <c r="C480" s="4">
        <f>TRIM(Raw_Data!C480)</f>
        <v/>
      </c>
      <c r="D480" s="4">
        <f>PROPER(TRIM(Raw_Data!D480))</f>
        <v/>
      </c>
      <c r="E480" s="4">
        <f>Raw_Data!E480</f>
        <v/>
      </c>
      <c r="F480" s="6">
        <f>ROUND(Raw_Data!F480,2)</f>
        <v/>
      </c>
      <c r="G480" s="4">
        <f>PROPER(TRIM(Raw_Data!G480))</f>
        <v/>
      </c>
      <c r="H480" s="4">
        <f>PROPER(TRIM(Raw_Data!H480))</f>
        <v/>
      </c>
      <c r="I480" s="4">
        <f>PROPER(TRIM(Raw_Data!I480))</f>
        <v/>
      </c>
      <c r="J480" s="4">
        <f>TRIM(Raw_Data!J480)</f>
        <v/>
      </c>
      <c r="K480" s="4">
        <f>Raw_Data!K480</f>
        <v/>
      </c>
      <c r="L480" s="4">
        <f>IF(TRIM(Raw_Data!L480)="","No Coupon",TRIM(Raw_Data!L480))</f>
        <v/>
      </c>
      <c r="M480" s="4">
        <f>PROPER(TRIM(Raw_Data!M480))</f>
        <v/>
      </c>
      <c r="N480" s="6">
        <f>ROUND(Raw_Data!N480,2)</f>
        <v/>
      </c>
      <c r="O480" s="7">
        <f>IF(COUNTIF($A$2:$A$1201,A480)&gt;1,"DUPLICATE","Unique")</f>
        <v/>
      </c>
      <c r="P480" s="7">
        <f>IF(COUNTIF($J$2:$J$1201,J480)&gt;1,"DUPLICATE","Unique")</f>
        <v/>
      </c>
      <c r="Q480" s="4">
        <f>IF(TRIM(Raw_Data!L480)="","Yes","No")</f>
        <v/>
      </c>
      <c r="R480" s="4">
        <f>IF(ISNUMBER(B480),"Valid","INVALID")</f>
        <v/>
      </c>
    </row>
    <row r="481">
      <c r="A481" s="4">
        <f>TRIM(Raw_Data!A481)</f>
        <v/>
      </c>
      <c r="B481" s="5">
        <f>Raw_Data!B481</f>
        <v/>
      </c>
      <c r="C481" s="4">
        <f>TRIM(Raw_Data!C481)</f>
        <v/>
      </c>
      <c r="D481" s="4">
        <f>PROPER(TRIM(Raw_Data!D481))</f>
        <v/>
      </c>
      <c r="E481" s="4">
        <f>Raw_Data!E481</f>
        <v/>
      </c>
      <c r="F481" s="6">
        <f>ROUND(Raw_Data!F481,2)</f>
        <v/>
      </c>
      <c r="G481" s="4">
        <f>PROPER(TRIM(Raw_Data!G481))</f>
        <v/>
      </c>
      <c r="H481" s="4">
        <f>PROPER(TRIM(Raw_Data!H481))</f>
        <v/>
      </c>
      <c r="I481" s="4">
        <f>PROPER(TRIM(Raw_Data!I481))</f>
        <v/>
      </c>
      <c r="J481" s="4">
        <f>TRIM(Raw_Data!J481)</f>
        <v/>
      </c>
      <c r="K481" s="4">
        <f>Raw_Data!K481</f>
        <v/>
      </c>
      <c r="L481" s="4">
        <f>IF(TRIM(Raw_Data!L481)="","No Coupon",TRIM(Raw_Data!L481))</f>
        <v/>
      </c>
      <c r="M481" s="4">
        <f>PROPER(TRIM(Raw_Data!M481))</f>
        <v/>
      </c>
      <c r="N481" s="6">
        <f>ROUND(Raw_Data!N481,2)</f>
        <v/>
      </c>
      <c r="O481" s="7">
        <f>IF(COUNTIF($A$2:$A$1201,A481)&gt;1,"DUPLICATE","Unique")</f>
        <v/>
      </c>
      <c r="P481" s="7">
        <f>IF(COUNTIF($J$2:$J$1201,J481)&gt;1,"DUPLICATE","Unique")</f>
        <v/>
      </c>
      <c r="Q481" s="4">
        <f>IF(TRIM(Raw_Data!L481)="","Yes","No")</f>
        <v/>
      </c>
      <c r="R481" s="4">
        <f>IF(ISNUMBER(B481),"Valid","INVALID")</f>
        <v/>
      </c>
    </row>
    <row r="482">
      <c r="A482" s="4">
        <f>TRIM(Raw_Data!A482)</f>
        <v/>
      </c>
      <c r="B482" s="5">
        <f>Raw_Data!B482</f>
        <v/>
      </c>
      <c r="C482" s="4">
        <f>TRIM(Raw_Data!C482)</f>
        <v/>
      </c>
      <c r="D482" s="4">
        <f>PROPER(TRIM(Raw_Data!D482))</f>
        <v/>
      </c>
      <c r="E482" s="4">
        <f>Raw_Data!E482</f>
        <v/>
      </c>
      <c r="F482" s="6">
        <f>ROUND(Raw_Data!F482,2)</f>
        <v/>
      </c>
      <c r="G482" s="4">
        <f>PROPER(TRIM(Raw_Data!G482))</f>
        <v/>
      </c>
      <c r="H482" s="4">
        <f>PROPER(TRIM(Raw_Data!H482))</f>
        <v/>
      </c>
      <c r="I482" s="4">
        <f>PROPER(TRIM(Raw_Data!I482))</f>
        <v/>
      </c>
      <c r="J482" s="4">
        <f>TRIM(Raw_Data!J482)</f>
        <v/>
      </c>
      <c r="K482" s="4">
        <f>Raw_Data!K482</f>
        <v/>
      </c>
      <c r="L482" s="4">
        <f>IF(TRIM(Raw_Data!L482)="","No Coupon",TRIM(Raw_Data!L482))</f>
        <v/>
      </c>
      <c r="M482" s="4">
        <f>PROPER(TRIM(Raw_Data!M482))</f>
        <v/>
      </c>
      <c r="N482" s="6">
        <f>ROUND(Raw_Data!N482,2)</f>
        <v/>
      </c>
      <c r="O482" s="7">
        <f>IF(COUNTIF($A$2:$A$1201,A482)&gt;1,"DUPLICATE","Unique")</f>
        <v/>
      </c>
      <c r="P482" s="7">
        <f>IF(COUNTIF($J$2:$J$1201,J482)&gt;1,"DUPLICATE","Unique")</f>
        <v/>
      </c>
      <c r="Q482" s="4">
        <f>IF(TRIM(Raw_Data!L482)="","Yes","No")</f>
        <v/>
      </c>
      <c r="R482" s="4">
        <f>IF(ISNUMBER(B482),"Valid","INVALID")</f>
        <v/>
      </c>
    </row>
    <row r="483">
      <c r="A483" s="4">
        <f>TRIM(Raw_Data!A483)</f>
        <v/>
      </c>
      <c r="B483" s="5">
        <f>Raw_Data!B483</f>
        <v/>
      </c>
      <c r="C483" s="4">
        <f>TRIM(Raw_Data!C483)</f>
        <v/>
      </c>
      <c r="D483" s="4">
        <f>PROPER(TRIM(Raw_Data!D483))</f>
        <v/>
      </c>
      <c r="E483" s="4">
        <f>Raw_Data!E483</f>
        <v/>
      </c>
      <c r="F483" s="6">
        <f>ROUND(Raw_Data!F483,2)</f>
        <v/>
      </c>
      <c r="G483" s="4">
        <f>PROPER(TRIM(Raw_Data!G483))</f>
        <v/>
      </c>
      <c r="H483" s="4">
        <f>PROPER(TRIM(Raw_Data!H483))</f>
        <v/>
      </c>
      <c r="I483" s="4">
        <f>PROPER(TRIM(Raw_Data!I483))</f>
        <v/>
      </c>
      <c r="J483" s="4">
        <f>TRIM(Raw_Data!J483)</f>
        <v/>
      </c>
      <c r="K483" s="4">
        <f>Raw_Data!K483</f>
        <v/>
      </c>
      <c r="L483" s="4">
        <f>IF(TRIM(Raw_Data!L483)="","No Coupon",TRIM(Raw_Data!L483))</f>
        <v/>
      </c>
      <c r="M483" s="4">
        <f>PROPER(TRIM(Raw_Data!M483))</f>
        <v/>
      </c>
      <c r="N483" s="6">
        <f>ROUND(Raw_Data!N483,2)</f>
        <v/>
      </c>
      <c r="O483" s="7">
        <f>IF(COUNTIF($A$2:$A$1201,A483)&gt;1,"DUPLICATE","Unique")</f>
        <v/>
      </c>
      <c r="P483" s="7">
        <f>IF(COUNTIF($J$2:$J$1201,J483)&gt;1,"DUPLICATE","Unique")</f>
        <v/>
      </c>
      <c r="Q483" s="4">
        <f>IF(TRIM(Raw_Data!L483)="","Yes","No")</f>
        <v/>
      </c>
      <c r="R483" s="4">
        <f>IF(ISNUMBER(B483),"Valid","INVALID")</f>
        <v/>
      </c>
    </row>
    <row r="484">
      <c r="A484" s="4">
        <f>TRIM(Raw_Data!A484)</f>
        <v/>
      </c>
      <c r="B484" s="5">
        <f>Raw_Data!B484</f>
        <v/>
      </c>
      <c r="C484" s="4">
        <f>TRIM(Raw_Data!C484)</f>
        <v/>
      </c>
      <c r="D484" s="4">
        <f>PROPER(TRIM(Raw_Data!D484))</f>
        <v/>
      </c>
      <c r="E484" s="4">
        <f>Raw_Data!E484</f>
        <v/>
      </c>
      <c r="F484" s="6">
        <f>ROUND(Raw_Data!F484,2)</f>
        <v/>
      </c>
      <c r="G484" s="4">
        <f>PROPER(TRIM(Raw_Data!G484))</f>
        <v/>
      </c>
      <c r="H484" s="4">
        <f>PROPER(TRIM(Raw_Data!H484))</f>
        <v/>
      </c>
      <c r="I484" s="4">
        <f>PROPER(TRIM(Raw_Data!I484))</f>
        <v/>
      </c>
      <c r="J484" s="4">
        <f>TRIM(Raw_Data!J484)</f>
        <v/>
      </c>
      <c r="K484" s="4">
        <f>Raw_Data!K484</f>
        <v/>
      </c>
      <c r="L484" s="4">
        <f>IF(TRIM(Raw_Data!L484)="","No Coupon",TRIM(Raw_Data!L484))</f>
        <v/>
      </c>
      <c r="M484" s="4">
        <f>PROPER(TRIM(Raw_Data!M484))</f>
        <v/>
      </c>
      <c r="N484" s="6">
        <f>ROUND(Raw_Data!N484,2)</f>
        <v/>
      </c>
      <c r="O484" s="7">
        <f>IF(COUNTIF($A$2:$A$1201,A484)&gt;1,"DUPLICATE","Unique")</f>
        <v/>
      </c>
      <c r="P484" s="7">
        <f>IF(COUNTIF($J$2:$J$1201,J484)&gt;1,"DUPLICATE","Unique")</f>
        <v/>
      </c>
      <c r="Q484" s="4">
        <f>IF(TRIM(Raw_Data!L484)="","Yes","No")</f>
        <v/>
      </c>
      <c r="R484" s="4">
        <f>IF(ISNUMBER(B484),"Valid","INVALID")</f>
        <v/>
      </c>
    </row>
    <row r="485">
      <c r="A485" s="4">
        <f>TRIM(Raw_Data!A485)</f>
        <v/>
      </c>
      <c r="B485" s="5">
        <f>Raw_Data!B485</f>
        <v/>
      </c>
      <c r="C485" s="4">
        <f>TRIM(Raw_Data!C485)</f>
        <v/>
      </c>
      <c r="D485" s="4">
        <f>PROPER(TRIM(Raw_Data!D485))</f>
        <v/>
      </c>
      <c r="E485" s="4">
        <f>Raw_Data!E485</f>
        <v/>
      </c>
      <c r="F485" s="6">
        <f>ROUND(Raw_Data!F485,2)</f>
        <v/>
      </c>
      <c r="G485" s="4">
        <f>PROPER(TRIM(Raw_Data!G485))</f>
        <v/>
      </c>
      <c r="H485" s="4">
        <f>PROPER(TRIM(Raw_Data!H485))</f>
        <v/>
      </c>
      <c r="I485" s="4">
        <f>PROPER(TRIM(Raw_Data!I485))</f>
        <v/>
      </c>
      <c r="J485" s="4">
        <f>TRIM(Raw_Data!J485)</f>
        <v/>
      </c>
      <c r="K485" s="4">
        <f>Raw_Data!K485</f>
        <v/>
      </c>
      <c r="L485" s="4">
        <f>IF(TRIM(Raw_Data!L485)="","No Coupon",TRIM(Raw_Data!L485))</f>
        <v/>
      </c>
      <c r="M485" s="4">
        <f>PROPER(TRIM(Raw_Data!M485))</f>
        <v/>
      </c>
      <c r="N485" s="6">
        <f>ROUND(Raw_Data!N485,2)</f>
        <v/>
      </c>
      <c r="O485" s="7">
        <f>IF(COUNTIF($A$2:$A$1201,A485)&gt;1,"DUPLICATE","Unique")</f>
        <v/>
      </c>
      <c r="P485" s="7">
        <f>IF(COUNTIF($J$2:$J$1201,J485)&gt;1,"DUPLICATE","Unique")</f>
        <v/>
      </c>
      <c r="Q485" s="4">
        <f>IF(TRIM(Raw_Data!L485)="","Yes","No")</f>
        <v/>
      </c>
      <c r="R485" s="4">
        <f>IF(ISNUMBER(B485),"Valid","INVALID")</f>
        <v/>
      </c>
    </row>
    <row r="486">
      <c r="A486" s="4">
        <f>TRIM(Raw_Data!A486)</f>
        <v/>
      </c>
      <c r="B486" s="5">
        <f>Raw_Data!B486</f>
        <v/>
      </c>
      <c r="C486" s="4">
        <f>TRIM(Raw_Data!C486)</f>
        <v/>
      </c>
      <c r="D486" s="4">
        <f>PROPER(TRIM(Raw_Data!D486))</f>
        <v/>
      </c>
      <c r="E486" s="4">
        <f>Raw_Data!E486</f>
        <v/>
      </c>
      <c r="F486" s="6">
        <f>ROUND(Raw_Data!F486,2)</f>
        <v/>
      </c>
      <c r="G486" s="4">
        <f>PROPER(TRIM(Raw_Data!G486))</f>
        <v/>
      </c>
      <c r="H486" s="4">
        <f>PROPER(TRIM(Raw_Data!H486))</f>
        <v/>
      </c>
      <c r="I486" s="4">
        <f>PROPER(TRIM(Raw_Data!I486))</f>
        <v/>
      </c>
      <c r="J486" s="4">
        <f>TRIM(Raw_Data!J486)</f>
        <v/>
      </c>
      <c r="K486" s="4">
        <f>Raw_Data!K486</f>
        <v/>
      </c>
      <c r="L486" s="4">
        <f>IF(TRIM(Raw_Data!L486)="","No Coupon",TRIM(Raw_Data!L486))</f>
        <v/>
      </c>
      <c r="M486" s="4">
        <f>PROPER(TRIM(Raw_Data!M486))</f>
        <v/>
      </c>
      <c r="N486" s="6">
        <f>ROUND(Raw_Data!N486,2)</f>
        <v/>
      </c>
      <c r="O486" s="7">
        <f>IF(COUNTIF($A$2:$A$1201,A486)&gt;1,"DUPLICATE","Unique")</f>
        <v/>
      </c>
      <c r="P486" s="7">
        <f>IF(COUNTIF($J$2:$J$1201,J486)&gt;1,"DUPLICATE","Unique")</f>
        <v/>
      </c>
      <c r="Q486" s="4">
        <f>IF(TRIM(Raw_Data!L486)="","Yes","No")</f>
        <v/>
      </c>
      <c r="R486" s="4">
        <f>IF(ISNUMBER(B486),"Valid","INVALID")</f>
        <v/>
      </c>
    </row>
    <row r="487">
      <c r="A487" s="4">
        <f>TRIM(Raw_Data!A487)</f>
        <v/>
      </c>
      <c r="B487" s="5">
        <f>Raw_Data!B487</f>
        <v/>
      </c>
      <c r="C487" s="4">
        <f>TRIM(Raw_Data!C487)</f>
        <v/>
      </c>
      <c r="D487" s="4">
        <f>PROPER(TRIM(Raw_Data!D487))</f>
        <v/>
      </c>
      <c r="E487" s="4">
        <f>Raw_Data!E487</f>
        <v/>
      </c>
      <c r="F487" s="6">
        <f>ROUND(Raw_Data!F487,2)</f>
        <v/>
      </c>
      <c r="G487" s="4">
        <f>PROPER(TRIM(Raw_Data!G487))</f>
        <v/>
      </c>
      <c r="H487" s="4">
        <f>PROPER(TRIM(Raw_Data!H487))</f>
        <v/>
      </c>
      <c r="I487" s="4">
        <f>PROPER(TRIM(Raw_Data!I487))</f>
        <v/>
      </c>
      <c r="J487" s="4">
        <f>TRIM(Raw_Data!J487)</f>
        <v/>
      </c>
      <c r="K487" s="4">
        <f>Raw_Data!K487</f>
        <v/>
      </c>
      <c r="L487" s="4">
        <f>IF(TRIM(Raw_Data!L487)="","No Coupon",TRIM(Raw_Data!L487))</f>
        <v/>
      </c>
      <c r="M487" s="4">
        <f>PROPER(TRIM(Raw_Data!M487))</f>
        <v/>
      </c>
      <c r="N487" s="6">
        <f>ROUND(Raw_Data!N487,2)</f>
        <v/>
      </c>
      <c r="O487" s="7">
        <f>IF(COUNTIF($A$2:$A$1201,A487)&gt;1,"DUPLICATE","Unique")</f>
        <v/>
      </c>
      <c r="P487" s="7">
        <f>IF(COUNTIF($J$2:$J$1201,J487)&gt;1,"DUPLICATE","Unique")</f>
        <v/>
      </c>
      <c r="Q487" s="4">
        <f>IF(TRIM(Raw_Data!L487)="","Yes","No")</f>
        <v/>
      </c>
      <c r="R487" s="4">
        <f>IF(ISNUMBER(B487),"Valid","INVALID")</f>
        <v/>
      </c>
    </row>
    <row r="488">
      <c r="A488" s="4">
        <f>TRIM(Raw_Data!A488)</f>
        <v/>
      </c>
      <c r="B488" s="5">
        <f>Raw_Data!B488</f>
        <v/>
      </c>
      <c r="C488" s="4">
        <f>TRIM(Raw_Data!C488)</f>
        <v/>
      </c>
      <c r="D488" s="4">
        <f>PROPER(TRIM(Raw_Data!D488))</f>
        <v/>
      </c>
      <c r="E488" s="4">
        <f>Raw_Data!E488</f>
        <v/>
      </c>
      <c r="F488" s="6">
        <f>ROUND(Raw_Data!F488,2)</f>
        <v/>
      </c>
      <c r="G488" s="4">
        <f>PROPER(TRIM(Raw_Data!G488))</f>
        <v/>
      </c>
      <c r="H488" s="4">
        <f>PROPER(TRIM(Raw_Data!H488))</f>
        <v/>
      </c>
      <c r="I488" s="4">
        <f>PROPER(TRIM(Raw_Data!I488))</f>
        <v/>
      </c>
      <c r="J488" s="4">
        <f>TRIM(Raw_Data!J488)</f>
        <v/>
      </c>
      <c r="K488" s="4">
        <f>Raw_Data!K488</f>
        <v/>
      </c>
      <c r="L488" s="4">
        <f>IF(TRIM(Raw_Data!L488)="","No Coupon",TRIM(Raw_Data!L488))</f>
        <v/>
      </c>
      <c r="M488" s="4">
        <f>PROPER(TRIM(Raw_Data!M488))</f>
        <v/>
      </c>
      <c r="N488" s="6">
        <f>ROUND(Raw_Data!N488,2)</f>
        <v/>
      </c>
      <c r="O488" s="7">
        <f>IF(COUNTIF($A$2:$A$1201,A488)&gt;1,"DUPLICATE","Unique")</f>
        <v/>
      </c>
      <c r="P488" s="7">
        <f>IF(COUNTIF($J$2:$J$1201,J488)&gt;1,"DUPLICATE","Unique")</f>
        <v/>
      </c>
      <c r="Q488" s="4">
        <f>IF(TRIM(Raw_Data!L488)="","Yes","No")</f>
        <v/>
      </c>
      <c r="R488" s="4">
        <f>IF(ISNUMBER(B488),"Valid","INVALID")</f>
        <v/>
      </c>
    </row>
    <row r="489">
      <c r="A489" s="4">
        <f>TRIM(Raw_Data!A489)</f>
        <v/>
      </c>
      <c r="B489" s="5">
        <f>Raw_Data!B489</f>
        <v/>
      </c>
      <c r="C489" s="4">
        <f>TRIM(Raw_Data!C489)</f>
        <v/>
      </c>
      <c r="D489" s="4">
        <f>PROPER(TRIM(Raw_Data!D489))</f>
        <v/>
      </c>
      <c r="E489" s="4">
        <f>Raw_Data!E489</f>
        <v/>
      </c>
      <c r="F489" s="6">
        <f>ROUND(Raw_Data!F489,2)</f>
        <v/>
      </c>
      <c r="G489" s="4">
        <f>PROPER(TRIM(Raw_Data!G489))</f>
        <v/>
      </c>
      <c r="H489" s="4">
        <f>PROPER(TRIM(Raw_Data!H489))</f>
        <v/>
      </c>
      <c r="I489" s="4">
        <f>PROPER(TRIM(Raw_Data!I489))</f>
        <v/>
      </c>
      <c r="J489" s="4">
        <f>TRIM(Raw_Data!J489)</f>
        <v/>
      </c>
      <c r="K489" s="4">
        <f>Raw_Data!K489</f>
        <v/>
      </c>
      <c r="L489" s="4">
        <f>IF(TRIM(Raw_Data!L489)="","No Coupon",TRIM(Raw_Data!L489))</f>
        <v/>
      </c>
      <c r="M489" s="4">
        <f>PROPER(TRIM(Raw_Data!M489))</f>
        <v/>
      </c>
      <c r="N489" s="6">
        <f>ROUND(Raw_Data!N489,2)</f>
        <v/>
      </c>
      <c r="O489" s="7">
        <f>IF(COUNTIF($A$2:$A$1201,A489)&gt;1,"DUPLICATE","Unique")</f>
        <v/>
      </c>
      <c r="P489" s="7">
        <f>IF(COUNTIF($J$2:$J$1201,J489)&gt;1,"DUPLICATE","Unique")</f>
        <v/>
      </c>
      <c r="Q489" s="4">
        <f>IF(TRIM(Raw_Data!L489)="","Yes","No")</f>
        <v/>
      </c>
      <c r="R489" s="4">
        <f>IF(ISNUMBER(B489),"Valid","INVALID")</f>
        <v/>
      </c>
    </row>
    <row r="490">
      <c r="A490" s="4">
        <f>TRIM(Raw_Data!A490)</f>
        <v/>
      </c>
      <c r="B490" s="5">
        <f>Raw_Data!B490</f>
        <v/>
      </c>
      <c r="C490" s="4">
        <f>TRIM(Raw_Data!C490)</f>
        <v/>
      </c>
      <c r="D490" s="4">
        <f>PROPER(TRIM(Raw_Data!D490))</f>
        <v/>
      </c>
      <c r="E490" s="4">
        <f>Raw_Data!E490</f>
        <v/>
      </c>
      <c r="F490" s="6">
        <f>ROUND(Raw_Data!F490,2)</f>
        <v/>
      </c>
      <c r="G490" s="4">
        <f>PROPER(TRIM(Raw_Data!G490))</f>
        <v/>
      </c>
      <c r="H490" s="4">
        <f>PROPER(TRIM(Raw_Data!H490))</f>
        <v/>
      </c>
      <c r="I490" s="4">
        <f>PROPER(TRIM(Raw_Data!I490))</f>
        <v/>
      </c>
      <c r="J490" s="4">
        <f>TRIM(Raw_Data!J490)</f>
        <v/>
      </c>
      <c r="K490" s="4">
        <f>Raw_Data!K490</f>
        <v/>
      </c>
      <c r="L490" s="4">
        <f>IF(TRIM(Raw_Data!L490)="","No Coupon",TRIM(Raw_Data!L490))</f>
        <v/>
      </c>
      <c r="M490" s="4">
        <f>PROPER(TRIM(Raw_Data!M490))</f>
        <v/>
      </c>
      <c r="N490" s="6">
        <f>ROUND(Raw_Data!N490,2)</f>
        <v/>
      </c>
      <c r="O490" s="7">
        <f>IF(COUNTIF($A$2:$A$1201,A490)&gt;1,"DUPLICATE","Unique")</f>
        <v/>
      </c>
      <c r="P490" s="7">
        <f>IF(COUNTIF($J$2:$J$1201,J490)&gt;1,"DUPLICATE","Unique")</f>
        <v/>
      </c>
      <c r="Q490" s="4">
        <f>IF(TRIM(Raw_Data!L490)="","Yes","No")</f>
        <v/>
      </c>
      <c r="R490" s="4">
        <f>IF(ISNUMBER(B490),"Valid","INVALID")</f>
        <v/>
      </c>
    </row>
    <row r="491">
      <c r="A491" s="4">
        <f>TRIM(Raw_Data!A491)</f>
        <v/>
      </c>
      <c r="B491" s="5">
        <f>Raw_Data!B491</f>
        <v/>
      </c>
      <c r="C491" s="4">
        <f>TRIM(Raw_Data!C491)</f>
        <v/>
      </c>
      <c r="D491" s="4">
        <f>PROPER(TRIM(Raw_Data!D491))</f>
        <v/>
      </c>
      <c r="E491" s="4">
        <f>Raw_Data!E491</f>
        <v/>
      </c>
      <c r="F491" s="6">
        <f>ROUND(Raw_Data!F491,2)</f>
        <v/>
      </c>
      <c r="G491" s="4">
        <f>PROPER(TRIM(Raw_Data!G491))</f>
        <v/>
      </c>
      <c r="H491" s="4">
        <f>PROPER(TRIM(Raw_Data!H491))</f>
        <v/>
      </c>
      <c r="I491" s="4">
        <f>PROPER(TRIM(Raw_Data!I491))</f>
        <v/>
      </c>
      <c r="J491" s="4">
        <f>TRIM(Raw_Data!J491)</f>
        <v/>
      </c>
      <c r="K491" s="4">
        <f>Raw_Data!K491</f>
        <v/>
      </c>
      <c r="L491" s="4">
        <f>IF(TRIM(Raw_Data!L491)="","No Coupon",TRIM(Raw_Data!L491))</f>
        <v/>
      </c>
      <c r="M491" s="4">
        <f>PROPER(TRIM(Raw_Data!M491))</f>
        <v/>
      </c>
      <c r="N491" s="6">
        <f>ROUND(Raw_Data!N491,2)</f>
        <v/>
      </c>
      <c r="O491" s="7">
        <f>IF(COUNTIF($A$2:$A$1201,A491)&gt;1,"DUPLICATE","Unique")</f>
        <v/>
      </c>
      <c r="P491" s="7">
        <f>IF(COUNTIF($J$2:$J$1201,J491)&gt;1,"DUPLICATE","Unique")</f>
        <v/>
      </c>
      <c r="Q491" s="4">
        <f>IF(TRIM(Raw_Data!L491)="","Yes","No")</f>
        <v/>
      </c>
      <c r="R491" s="4">
        <f>IF(ISNUMBER(B491),"Valid","INVALID")</f>
        <v/>
      </c>
    </row>
    <row r="492">
      <c r="A492" s="4">
        <f>TRIM(Raw_Data!A492)</f>
        <v/>
      </c>
      <c r="B492" s="5">
        <f>Raw_Data!B492</f>
        <v/>
      </c>
      <c r="C492" s="4">
        <f>TRIM(Raw_Data!C492)</f>
        <v/>
      </c>
      <c r="D492" s="4">
        <f>PROPER(TRIM(Raw_Data!D492))</f>
        <v/>
      </c>
      <c r="E492" s="4">
        <f>Raw_Data!E492</f>
        <v/>
      </c>
      <c r="F492" s="6">
        <f>ROUND(Raw_Data!F492,2)</f>
        <v/>
      </c>
      <c r="G492" s="4">
        <f>PROPER(TRIM(Raw_Data!G492))</f>
        <v/>
      </c>
      <c r="H492" s="4">
        <f>PROPER(TRIM(Raw_Data!H492))</f>
        <v/>
      </c>
      <c r="I492" s="4">
        <f>PROPER(TRIM(Raw_Data!I492))</f>
        <v/>
      </c>
      <c r="J492" s="4">
        <f>TRIM(Raw_Data!J492)</f>
        <v/>
      </c>
      <c r="K492" s="4">
        <f>Raw_Data!K492</f>
        <v/>
      </c>
      <c r="L492" s="4">
        <f>IF(TRIM(Raw_Data!L492)="","No Coupon",TRIM(Raw_Data!L492))</f>
        <v/>
      </c>
      <c r="M492" s="4">
        <f>PROPER(TRIM(Raw_Data!M492))</f>
        <v/>
      </c>
      <c r="N492" s="6">
        <f>ROUND(Raw_Data!N492,2)</f>
        <v/>
      </c>
      <c r="O492" s="7">
        <f>IF(COUNTIF($A$2:$A$1201,A492)&gt;1,"DUPLICATE","Unique")</f>
        <v/>
      </c>
      <c r="P492" s="7">
        <f>IF(COUNTIF($J$2:$J$1201,J492)&gt;1,"DUPLICATE","Unique")</f>
        <v/>
      </c>
      <c r="Q492" s="4">
        <f>IF(TRIM(Raw_Data!L492)="","Yes","No")</f>
        <v/>
      </c>
      <c r="R492" s="4">
        <f>IF(ISNUMBER(B492),"Valid","INVALID")</f>
        <v/>
      </c>
    </row>
    <row r="493">
      <c r="A493" s="4">
        <f>TRIM(Raw_Data!A493)</f>
        <v/>
      </c>
      <c r="B493" s="5">
        <f>Raw_Data!B493</f>
        <v/>
      </c>
      <c r="C493" s="4">
        <f>TRIM(Raw_Data!C493)</f>
        <v/>
      </c>
      <c r="D493" s="4">
        <f>PROPER(TRIM(Raw_Data!D493))</f>
        <v/>
      </c>
      <c r="E493" s="4">
        <f>Raw_Data!E493</f>
        <v/>
      </c>
      <c r="F493" s="6">
        <f>ROUND(Raw_Data!F493,2)</f>
        <v/>
      </c>
      <c r="G493" s="4">
        <f>PROPER(TRIM(Raw_Data!G493))</f>
        <v/>
      </c>
      <c r="H493" s="4">
        <f>PROPER(TRIM(Raw_Data!H493))</f>
        <v/>
      </c>
      <c r="I493" s="4">
        <f>PROPER(TRIM(Raw_Data!I493))</f>
        <v/>
      </c>
      <c r="J493" s="4">
        <f>TRIM(Raw_Data!J493)</f>
        <v/>
      </c>
      <c r="K493" s="4">
        <f>Raw_Data!K493</f>
        <v/>
      </c>
      <c r="L493" s="4">
        <f>IF(TRIM(Raw_Data!L493)="","No Coupon",TRIM(Raw_Data!L493))</f>
        <v/>
      </c>
      <c r="M493" s="4">
        <f>PROPER(TRIM(Raw_Data!M493))</f>
        <v/>
      </c>
      <c r="N493" s="6">
        <f>ROUND(Raw_Data!N493,2)</f>
        <v/>
      </c>
      <c r="O493" s="7">
        <f>IF(COUNTIF($A$2:$A$1201,A493)&gt;1,"DUPLICATE","Unique")</f>
        <v/>
      </c>
      <c r="P493" s="7">
        <f>IF(COUNTIF($J$2:$J$1201,J493)&gt;1,"DUPLICATE","Unique")</f>
        <v/>
      </c>
      <c r="Q493" s="4">
        <f>IF(TRIM(Raw_Data!L493)="","Yes","No")</f>
        <v/>
      </c>
      <c r="R493" s="4">
        <f>IF(ISNUMBER(B493),"Valid","INVALID")</f>
        <v/>
      </c>
    </row>
    <row r="494">
      <c r="A494" s="4">
        <f>TRIM(Raw_Data!A494)</f>
        <v/>
      </c>
      <c r="B494" s="5">
        <f>Raw_Data!B494</f>
        <v/>
      </c>
      <c r="C494" s="4">
        <f>TRIM(Raw_Data!C494)</f>
        <v/>
      </c>
      <c r="D494" s="4">
        <f>PROPER(TRIM(Raw_Data!D494))</f>
        <v/>
      </c>
      <c r="E494" s="4">
        <f>Raw_Data!E494</f>
        <v/>
      </c>
      <c r="F494" s="6">
        <f>ROUND(Raw_Data!F494,2)</f>
        <v/>
      </c>
      <c r="G494" s="4">
        <f>PROPER(TRIM(Raw_Data!G494))</f>
        <v/>
      </c>
      <c r="H494" s="4">
        <f>PROPER(TRIM(Raw_Data!H494))</f>
        <v/>
      </c>
      <c r="I494" s="4">
        <f>PROPER(TRIM(Raw_Data!I494))</f>
        <v/>
      </c>
      <c r="J494" s="4">
        <f>TRIM(Raw_Data!J494)</f>
        <v/>
      </c>
      <c r="K494" s="4">
        <f>Raw_Data!K494</f>
        <v/>
      </c>
      <c r="L494" s="4">
        <f>IF(TRIM(Raw_Data!L494)="","No Coupon",TRIM(Raw_Data!L494))</f>
        <v/>
      </c>
      <c r="M494" s="4">
        <f>PROPER(TRIM(Raw_Data!M494))</f>
        <v/>
      </c>
      <c r="N494" s="6">
        <f>ROUND(Raw_Data!N494,2)</f>
        <v/>
      </c>
      <c r="O494" s="7">
        <f>IF(COUNTIF($A$2:$A$1201,A494)&gt;1,"DUPLICATE","Unique")</f>
        <v/>
      </c>
      <c r="P494" s="7">
        <f>IF(COUNTIF($J$2:$J$1201,J494)&gt;1,"DUPLICATE","Unique")</f>
        <v/>
      </c>
      <c r="Q494" s="4">
        <f>IF(TRIM(Raw_Data!L494)="","Yes","No")</f>
        <v/>
      </c>
      <c r="R494" s="4">
        <f>IF(ISNUMBER(B494),"Valid","INVALID")</f>
        <v/>
      </c>
    </row>
    <row r="495">
      <c r="A495" s="4">
        <f>TRIM(Raw_Data!A495)</f>
        <v/>
      </c>
      <c r="B495" s="5">
        <f>Raw_Data!B495</f>
        <v/>
      </c>
      <c r="C495" s="4">
        <f>TRIM(Raw_Data!C495)</f>
        <v/>
      </c>
      <c r="D495" s="4">
        <f>PROPER(TRIM(Raw_Data!D495))</f>
        <v/>
      </c>
      <c r="E495" s="4">
        <f>Raw_Data!E495</f>
        <v/>
      </c>
      <c r="F495" s="6">
        <f>ROUND(Raw_Data!F495,2)</f>
        <v/>
      </c>
      <c r="G495" s="4">
        <f>PROPER(TRIM(Raw_Data!G495))</f>
        <v/>
      </c>
      <c r="H495" s="4">
        <f>PROPER(TRIM(Raw_Data!H495))</f>
        <v/>
      </c>
      <c r="I495" s="4">
        <f>PROPER(TRIM(Raw_Data!I495))</f>
        <v/>
      </c>
      <c r="J495" s="4">
        <f>TRIM(Raw_Data!J495)</f>
        <v/>
      </c>
      <c r="K495" s="4">
        <f>Raw_Data!K495</f>
        <v/>
      </c>
      <c r="L495" s="4">
        <f>IF(TRIM(Raw_Data!L495)="","No Coupon",TRIM(Raw_Data!L495))</f>
        <v/>
      </c>
      <c r="M495" s="4">
        <f>PROPER(TRIM(Raw_Data!M495))</f>
        <v/>
      </c>
      <c r="N495" s="6">
        <f>ROUND(Raw_Data!N495,2)</f>
        <v/>
      </c>
      <c r="O495" s="7">
        <f>IF(COUNTIF($A$2:$A$1201,A495)&gt;1,"DUPLICATE","Unique")</f>
        <v/>
      </c>
      <c r="P495" s="7">
        <f>IF(COUNTIF($J$2:$J$1201,J495)&gt;1,"DUPLICATE","Unique")</f>
        <v/>
      </c>
      <c r="Q495" s="4">
        <f>IF(TRIM(Raw_Data!L495)="","Yes","No")</f>
        <v/>
      </c>
      <c r="R495" s="4">
        <f>IF(ISNUMBER(B495),"Valid","INVALID")</f>
        <v/>
      </c>
    </row>
    <row r="496">
      <c r="A496" s="4">
        <f>TRIM(Raw_Data!A496)</f>
        <v/>
      </c>
      <c r="B496" s="5">
        <f>Raw_Data!B496</f>
        <v/>
      </c>
      <c r="C496" s="4">
        <f>TRIM(Raw_Data!C496)</f>
        <v/>
      </c>
      <c r="D496" s="4">
        <f>PROPER(TRIM(Raw_Data!D496))</f>
        <v/>
      </c>
      <c r="E496" s="4">
        <f>Raw_Data!E496</f>
        <v/>
      </c>
      <c r="F496" s="6">
        <f>ROUND(Raw_Data!F496,2)</f>
        <v/>
      </c>
      <c r="G496" s="4">
        <f>PROPER(TRIM(Raw_Data!G496))</f>
        <v/>
      </c>
      <c r="H496" s="4">
        <f>PROPER(TRIM(Raw_Data!H496))</f>
        <v/>
      </c>
      <c r="I496" s="4">
        <f>PROPER(TRIM(Raw_Data!I496))</f>
        <v/>
      </c>
      <c r="J496" s="4">
        <f>TRIM(Raw_Data!J496)</f>
        <v/>
      </c>
      <c r="K496" s="4">
        <f>Raw_Data!K496</f>
        <v/>
      </c>
      <c r="L496" s="4">
        <f>IF(TRIM(Raw_Data!L496)="","No Coupon",TRIM(Raw_Data!L496))</f>
        <v/>
      </c>
      <c r="M496" s="4">
        <f>PROPER(TRIM(Raw_Data!M496))</f>
        <v/>
      </c>
      <c r="N496" s="6">
        <f>ROUND(Raw_Data!N496,2)</f>
        <v/>
      </c>
      <c r="O496" s="7">
        <f>IF(COUNTIF($A$2:$A$1201,A496)&gt;1,"DUPLICATE","Unique")</f>
        <v/>
      </c>
      <c r="P496" s="7">
        <f>IF(COUNTIF($J$2:$J$1201,J496)&gt;1,"DUPLICATE","Unique")</f>
        <v/>
      </c>
      <c r="Q496" s="4">
        <f>IF(TRIM(Raw_Data!L496)="","Yes","No")</f>
        <v/>
      </c>
      <c r="R496" s="4">
        <f>IF(ISNUMBER(B496),"Valid","INVALID")</f>
        <v/>
      </c>
    </row>
    <row r="497">
      <c r="A497" s="4">
        <f>TRIM(Raw_Data!A497)</f>
        <v/>
      </c>
      <c r="B497" s="5">
        <f>Raw_Data!B497</f>
        <v/>
      </c>
      <c r="C497" s="4">
        <f>TRIM(Raw_Data!C497)</f>
        <v/>
      </c>
      <c r="D497" s="4">
        <f>PROPER(TRIM(Raw_Data!D497))</f>
        <v/>
      </c>
      <c r="E497" s="4">
        <f>Raw_Data!E497</f>
        <v/>
      </c>
      <c r="F497" s="6">
        <f>ROUND(Raw_Data!F497,2)</f>
        <v/>
      </c>
      <c r="G497" s="4">
        <f>PROPER(TRIM(Raw_Data!G497))</f>
        <v/>
      </c>
      <c r="H497" s="4">
        <f>PROPER(TRIM(Raw_Data!H497))</f>
        <v/>
      </c>
      <c r="I497" s="4">
        <f>PROPER(TRIM(Raw_Data!I497))</f>
        <v/>
      </c>
      <c r="J497" s="4">
        <f>TRIM(Raw_Data!J497)</f>
        <v/>
      </c>
      <c r="K497" s="4">
        <f>Raw_Data!K497</f>
        <v/>
      </c>
      <c r="L497" s="4">
        <f>IF(TRIM(Raw_Data!L497)="","No Coupon",TRIM(Raw_Data!L497))</f>
        <v/>
      </c>
      <c r="M497" s="4">
        <f>PROPER(TRIM(Raw_Data!M497))</f>
        <v/>
      </c>
      <c r="N497" s="6">
        <f>ROUND(Raw_Data!N497,2)</f>
        <v/>
      </c>
      <c r="O497" s="7">
        <f>IF(COUNTIF($A$2:$A$1201,A497)&gt;1,"DUPLICATE","Unique")</f>
        <v/>
      </c>
      <c r="P497" s="7">
        <f>IF(COUNTIF($J$2:$J$1201,J497)&gt;1,"DUPLICATE","Unique")</f>
        <v/>
      </c>
      <c r="Q497" s="4">
        <f>IF(TRIM(Raw_Data!L497)="","Yes","No")</f>
        <v/>
      </c>
      <c r="R497" s="4">
        <f>IF(ISNUMBER(B497),"Valid","INVALID")</f>
        <v/>
      </c>
    </row>
    <row r="498">
      <c r="A498" s="4">
        <f>TRIM(Raw_Data!A498)</f>
        <v/>
      </c>
      <c r="B498" s="5">
        <f>Raw_Data!B498</f>
        <v/>
      </c>
      <c r="C498" s="4">
        <f>TRIM(Raw_Data!C498)</f>
        <v/>
      </c>
      <c r="D498" s="4">
        <f>PROPER(TRIM(Raw_Data!D498))</f>
        <v/>
      </c>
      <c r="E498" s="4">
        <f>Raw_Data!E498</f>
        <v/>
      </c>
      <c r="F498" s="6">
        <f>ROUND(Raw_Data!F498,2)</f>
        <v/>
      </c>
      <c r="G498" s="4">
        <f>PROPER(TRIM(Raw_Data!G498))</f>
        <v/>
      </c>
      <c r="H498" s="4">
        <f>PROPER(TRIM(Raw_Data!H498))</f>
        <v/>
      </c>
      <c r="I498" s="4">
        <f>PROPER(TRIM(Raw_Data!I498))</f>
        <v/>
      </c>
      <c r="J498" s="4">
        <f>TRIM(Raw_Data!J498)</f>
        <v/>
      </c>
      <c r="K498" s="4">
        <f>Raw_Data!K498</f>
        <v/>
      </c>
      <c r="L498" s="4">
        <f>IF(TRIM(Raw_Data!L498)="","No Coupon",TRIM(Raw_Data!L498))</f>
        <v/>
      </c>
      <c r="M498" s="4">
        <f>PROPER(TRIM(Raw_Data!M498))</f>
        <v/>
      </c>
      <c r="N498" s="6">
        <f>ROUND(Raw_Data!N498,2)</f>
        <v/>
      </c>
      <c r="O498" s="7">
        <f>IF(COUNTIF($A$2:$A$1201,A498)&gt;1,"DUPLICATE","Unique")</f>
        <v/>
      </c>
      <c r="P498" s="7">
        <f>IF(COUNTIF($J$2:$J$1201,J498)&gt;1,"DUPLICATE","Unique")</f>
        <v/>
      </c>
      <c r="Q498" s="4">
        <f>IF(TRIM(Raw_Data!L498)="","Yes","No")</f>
        <v/>
      </c>
      <c r="R498" s="4">
        <f>IF(ISNUMBER(B498),"Valid","INVALID")</f>
        <v/>
      </c>
    </row>
    <row r="499">
      <c r="A499" s="4">
        <f>TRIM(Raw_Data!A499)</f>
        <v/>
      </c>
      <c r="B499" s="5">
        <f>Raw_Data!B499</f>
        <v/>
      </c>
      <c r="C499" s="4">
        <f>TRIM(Raw_Data!C499)</f>
        <v/>
      </c>
      <c r="D499" s="4">
        <f>PROPER(TRIM(Raw_Data!D499))</f>
        <v/>
      </c>
      <c r="E499" s="4">
        <f>Raw_Data!E499</f>
        <v/>
      </c>
      <c r="F499" s="6">
        <f>ROUND(Raw_Data!F499,2)</f>
        <v/>
      </c>
      <c r="G499" s="4">
        <f>PROPER(TRIM(Raw_Data!G499))</f>
        <v/>
      </c>
      <c r="H499" s="4">
        <f>PROPER(TRIM(Raw_Data!H499))</f>
        <v/>
      </c>
      <c r="I499" s="4">
        <f>PROPER(TRIM(Raw_Data!I499))</f>
        <v/>
      </c>
      <c r="J499" s="4">
        <f>TRIM(Raw_Data!J499)</f>
        <v/>
      </c>
      <c r="K499" s="4">
        <f>Raw_Data!K499</f>
        <v/>
      </c>
      <c r="L499" s="4">
        <f>IF(TRIM(Raw_Data!L499)="","No Coupon",TRIM(Raw_Data!L499))</f>
        <v/>
      </c>
      <c r="M499" s="4">
        <f>PROPER(TRIM(Raw_Data!M499))</f>
        <v/>
      </c>
      <c r="N499" s="6">
        <f>ROUND(Raw_Data!N499,2)</f>
        <v/>
      </c>
      <c r="O499" s="7">
        <f>IF(COUNTIF($A$2:$A$1201,A499)&gt;1,"DUPLICATE","Unique")</f>
        <v/>
      </c>
      <c r="P499" s="7">
        <f>IF(COUNTIF($J$2:$J$1201,J499)&gt;1,"DUPLICATE","Unique")</f>
        <v/>
      </c>
      <c r="Q499" s="4">
        <f>IF(TRIM(Raw_Data!L499)="","Yes","No")</f>
        <v/>
      </c>
      <c r="R499" s="4">
        <f>IF(ISNUMBER(B499),"Valid","INVALID")</f>
        <v/>
      </c>
    </row>
    <row r="500">
      <c r="A500" s="4">
        <f>TRIM(Raw_Data!A500)</f>
        <v/>
      </c>
      <c r="B500" s="5">
        <f>Raw_Data!B500</f>
        <v/>
      </c>
      <c r="C500" s="4">
        <f>TRIM(Raw_Data!C500)</f>
        <v/>
      </c>
      <c r="D500" s="4">
        <f>PROPER(TRIM(Raw_Data!D500))</f>
        <v/>
      </c>
      <c r="E500" s="4">
        <f>Raw_Data!E500</f>
        <v/>
      </c>
      <c r="F500" s="6">
        <f>ROUND(Raw_Data!F500,2)</f>
        <v/>
      </c>
      <c r="G500" s="4">
        <f>PROPER(TRIM(Raw_Data!G500))</f>
        <v/>
      </c>
      <c r="H500" s="4">
        <f>PROPER(TRIM(Raw_Data!H500))</f>
        <v/>
      </c>
      <c r="I500" s="4">
        <f>PROPER(TRIM(Raw_Data!I500))</f>
        <v/>
      </c>
      <c r="J500" s="4">
        <f>TRIM(Raw_Data!J500)</f>
        <v/>
      </c>
      <c r="K500" s="4">
        <f>Raw_Data!K500</f>
        <v/>
      </c>
      <c r="L500" s="4">
        <f>IF(TRIM(Raw_Data!L500)="","No Coupon",TRIM(Raw_Data!L500))</f>
        <v/>
      </c>
      <c r="M500" s="4">
        <f>PROPER(TRIM(Raw_Data!M500))</f>
        <v/>
      </c>
      <c r="N500" s="6">
        <f>ROUND(Raw_Data!N500,2)</f>
        <v/>
      </c>
      <c r="O500" s="7">
        <f>IF(COUNTIF($A$2:$A$1201,A500)&gt;1,"DUPLICATE","Unique")</f>
        <v/>
      </c>
      <c r="P500" s="7">
        <f>IF(COUNTIF($J$2:$J$1201,J500)&gt;1,"DUPLICATE","Unique")</f>
        <v/>
      </c>
      <c r="Q500" s="4">
        <f>IF(TRIM(Raw_Data!L500)="","Yes","No")</f>
        <v/>
      </c>
      <c r="R500" s="4">
        <f>IF(ISNUMBER(B500),"Valid","INVALID")</f>
        <v/>
      </c>
    </row>
    <row r="501">
      <c r="A501" s="4">
        <f>TRIM(Raw_Data!A501)</f>
        <v/>
      </c>
      <c r="B501" s="5">
        <f>Raw_Data!B501</f>
        <v/>
      </c>
      <c r="C501" s="4">
        <f>TRIM(Raw_Data!C501)</f>
        <v/>
      </c>
      <c r="D501" s="4">
        <f>PROPER(TRIM(Raw_Data!D501))</f>
        <v/>
      </c>
      <c r="E501" s="4">
        <f>Raw_Data!E501</f>
        <v/>
      </c>
      <c r="F501" s="6">
        <f>ROUND(Raw_Data!F501,2)</f>
        <v/>
      </c>
      <c r="G501" s="4">
        <f>PROPER(TRIM(Raw_Data!G501))</f>
        <v/>
      </c>
      <c r="H501" s="4">
        <f>PROPER(TRIM(Raw_Data!H501))</f>
        <v/>
      </c>
      <c r="I501" s="4">
        <f>PROPER(TRIM(Raw_Data!I501))</f>
        <v/>
      </c>
      <c r="J501" s="4">
        <f>TRIM(Raw_Data!J501)</f>
        <v/>
      </c>
      <c r="K501" s="4">
        <f>Raw_Data!K501</f>
        <v/>
      </c>
      <c r="L501" s="4">
        <f>IF(TRIM(Raw_Data!L501)="","No Coupon",TRIM(Raw_Data!L501))</f>
        <v/>
      </c>
      <c r="M501" s="4">
        <f>PROPER(TRIM(Raw_Data!M501))</f>
        <v/>
      </c>
      <c r="N501" s="6">
        <f>ROUND(Raw_Data!N501,2)</f>
        <v/>
      </c>
      <c r="O501" s="7">
        <f>IF(COUNTIF($A$2:$A$1201,A501)&gt;1,"DUPLICATE","Unique")</f>
        <v/>
      </c>
      <c r="P501" s="7">
        <f>IF(COUNTIF($J$2:$J$1201,J501)&gt;1,"DUPLICATE","Unique")</f>
        <v/>
      </c>
      <c r="Q501" s="4">
        <f>IF(TRIM(Raw_Data!L501)="","Yes","No")</f>
        <v/>
      </c>
      <c r="R501" s="4">
        <f>IF(ISNUMBER(B501),"Valid","INVALID")</f>
        <v/>
      </c>
    </row>
    <row r="502">
      <c r="A502" s="4">
        <f>TRIM(Raw_Data!A502)</f>
        <v/>
      </c>
      <c r="B502" s="5">
        <f>Raw_Data!B502</f>
        <v/>
      </c>
      <c r="C502" s="4">
        <f>TRIM(Raw_Data!C502)</f>
        <v/>
      </c>
      <c r="D502" s="4">
        <f>PROPER(TRIM(Raw_Data!D502))</f>
        <v/>
      </c>
      <c r="E502" s="4">
        <f>Raw_Data!E502</f>
        <v/>
      </c>
      <c r="F502" s="6">
        <f>ROUND(Raw_Data!F502,2)</f>
        <v/>
      </c>
      <c r="G502" s="4">
        <f>PROPER(TRIM(Raw_Data!G502))</f>
        <v/>
      </c>
      <c r="H502" s="4">
        <f>PROPER(TRIM(Raw_Data!H502))</f>
        <v/>
      </c>
      <c r="I502" s="4">
        <f>PROPER(TRIM(Raw_Data!I502))</f>
        <v/>
      </c>
      <c r="J502" s="4">
        <f>TRIM(Raw_Data!J502)</f>
        <v/>
      </c>
      <c r="K502" s="4">
        <f>Raw_Data!K502</f>
        <v/>
      </c>
      <c r="L502" s="4">
        <f>IF(TRIM(Raw_Data!L502)="","No Coupon",TRIM(Raw_Data!L502))</f>
        <v/>
      </c>
      <c r="M502" s="4">
        <f>PROPER(TRIM(Raw_Data!M502))</f>
        <v/>
      </c>
      <c r="N502" s="6">
        <f>ROUND(Raw_Data!N502,2)</f>
        <v/>
      </c>
      <c r="O502" s="7">
        <f>IF(COUNTIF($A$2:$A$1201,A502)&gt;1,"DUPLICATE","Unique")</f>
        <v/>
      </c>
      <c r="P502" s="7">
        <f>IF(COUNTIF($J$2:$J$1201,J502)&gt;1,"DUPLICATE","Unique")</f>
        <v/>
      </c>
      <c r="Q502" s="4">
        <f>IF(TRIM(Raw_Data!L502)="","Yes","No")</f>
        <v/>
      </c>
      <c r="R502" s="4">
        <f>IF(ISNUMBER(B502),"Valid","INVALID")</f>
        <v/>
      </c>
    </row>
    <row r="503">
      <c r="A503" s="4">
        <f>TRIM(Raw_Data!A503)</f>
        <v/>
      </c>
      <c r="B503" s="5">
        <f>Raw_Data!B503</f>
        <v/>
      </c>
      <c r="C503" s="4">
        <f>TRIM(Raw_Data!C503)</f>
        <v/>
      </c>
      <c r="D503" s="4">
        <f>PROPER(TRIM(Raw_Data!D503))</f>
        <v/>
      </c>
      <c r="E503" s="4">
        <f>Raw_Data!E503</f>
        <v/>
      </c>
      <c r="F503" s="6">
        <f>ROUND(Raw_Data!F503,2)</f>
        <v/>
      </c>
      <c r="G503" s="4">
        <f>PROPER(TRIM(Raw_Data!G503))</f>
        <v/>
      </c>
      <c r="H503" s="4">
        <f>PROPER(TRIM(Raw_Data!H503))</f>
        <v/>
      </c>
      <c r="I503" s="4">
        <f>PROPER(TRIM(Raw_Data!I503))</f>
        <v/>
      </c>
      <c r="J503" s="4">
        <f>TRIM(Raw_Data!J503)</f>
        <v/>
      </c>
      <c r="K503" s="4">
        <f>Raw_Data!K503</f>
        <v/>
      </c>
      <c r="L503" s="4">
        <f>IF(TRIM(Raw_Data!L503)="","No Coupon",TRIM(Raw_Data!L503))</f>
        <v/>
      </c>
      <c r="M503" s="4">
        <f>PROPER(TRIM(Raw_Data!M503))</f>
        <v/>
      </c>
      <c r="N503" s="6">
        <f>ROUND(Raw_Data!N503,2)</f>
        <v/>
      </c>
      <c r="O503" s="7">
        <f>IF(COUNTIF($A$2:$A$1201,A503)&gt;1,"DUPLICATE","Unique")</f>
        <v/>
      </c>
      <c r="P503" s="7">
        <f>IF(COUNTIF($J$2:$J$1201,J503)&gt;1,"DUPLICATE","Unique")</f>
        <v/>
      </c>
      <c r="Q503" s="4">
        <f>IF(TRIM(Raw_Data!L503)="","Yes","No")</f>
        <v/>
      </c>
      <c r="R503" s="4">
        <f>IF(ISNUMBER(B503),"Valid","INVALID")</f>
        <v/>
      </c>
    </row>
    <row r="504">
      <c r="A504" s="4">
        <f>TRIM(Raw_Data!A504)</f>
        <v/>
      </c>
      <c r="B504" s="5">
        <f>Raw_Data!B504</f>
        <v/>
      </c>
      <c r="C504" s="4">
        <f>TRIM(Raw_Data!C504)</f>
        <v/>
      </c>
      <c r="D504" s="4">
        <f>PROPER(TRIM(Raw_Data!D504))</f>
        <v/>
      </c>
      <c r="E504" s="4">
        <f>Raw_Data!E504</f>
        <v/>
      </c>
      <c r="F504" s="6">
        <f>ROUND(Raw_Data!F504,2)</f>
        <v/>
      </c>
      <c r="G504" s="4">
        <f>PROPER(TRIM(Raw_Data!G504))</f>
        <v/>
      </c>
      <c r="H504" s="4">
        <f>PROPER(TRIM(Raw_Data!H504))</f>
        <v/>
      </c>
      <c r="I504" s="4">
        <f>PROPER(TRIM(Raw_Data!I504))</f>
        <v/>
      </c>
      <c r="J504" s="4">
        <f>TRIM(Raw_Data!J504)</f>
        <v/>
      </c>
      <c r="K504" s="4">
        <f>Raw_Data!K504</f>
        <v/>
      </c>
      <c r="L504" s="4">
        <f>IF(TRIM(Raw_Data!L504)="","No Coupon",TRIM(Raw_Data!L504))</f>
        <v/>
      </c>
      <c r="M504" s="4">
        <f>PROPER(TRIM(Raw_Data!M504))</f>
        <v/>
      </c>
      <c r="N504" s="6">
        <f>ROUND(Raw_Data!N504,2)</f>
        <v/>
      </c>
      <c r="O504" s="7">
        <f>IF(COUNTIF($A$2:$A$1201,A504)&gt;1,"DUPLICATE","Unique")</f>
        <v/>
      </c>
      <c r="P504" s="7">
        <f>IF(COUNTIF($J$2:$J$1201,J504)&gt;1,"DUPLICATE","Unique")</f>
        <v/>
      </c>
      <c r="Q504" s="4">
        <f>IF(TRIM(Raw_Data!L504)="","Yes","No")</f>
        <v/>
      </c>
      <c r="R504" s="4">
        <f>IF(ISNUMBER(B504),"Valid","INVALID")</f>
        <v/>
      </c>
    </row>
    <row r="505">
      <c r="A505" s="4">
        <f>TRIM(Raw_Data!A505)</f>
        <v/>
      </c>
      <c r="B505" s="5">
        <f>Raw_Data!B505</f>
        <v/>
      </c>
      <c r="C505" s="4">
        <f>TRIM(Raw_Data!C505)</f>
        <v/>
      </c>
      <c r="D505" s="4">
        <f>PROPER(TRIM(Raw_Data!D505))</f>
        <v/>
      </c>
      <c r="E505" s="4">
        <f>Raw_Data!E505</f>
        <v/>
      </c>
      <c r="F505" s="6">
        <f>ROUND(Raw_Data!F505,2)</f>
        <v/>
      </c>
      <c r="G505" s="4">
        <f>PROPER(TRIM(Raw_Data!G505))</f>
        <v/>
      </c>
      <c r="H505" s="4">
        <f>PROPER(TRIM(Raw_Data!H505))</f>
        <v/>
      </c>
      <c r="I505" s="4">
        <f>PROPER(TRIM(Raw_Data!I505))</f>
        <v/>
      </c>
      <c r="J505" s="4">
        <f>TRIM(Raw_Data!J505)</f>
        <v/>
      </c>
      <c r="K505" s="4">
        <f>Raw_Data!K505</f>
        <v/>
      </c>
      <c r="L505" s="4">
        <f>IF(TRIM(Raw_Data!L505)="","No Coupon",TRIM(Raw_Data!L505))</f>
        <v/>
      </c>
      <c r="M505" s="4">
        <f>PROPER(TRIM(Raw_Data!M505))</f>
        <v/>
      </c>
      <c r="N505" s="6">
        <f>ROUND(Raw_Data!N505,2)</f>
        <v/>
      </c>
      <c r="O505" s="7">
        <f>IF(COUNTIF($A$2:$A$1201,A505)&gt;1,"DUPLICATE","Unique")</f>
        <v/>
      </c>
      <c r="P505" s="7">
        <f>IF(COUNTIF($J$2:$J$1201,J505)&gt;1,"DUPLICATE","Unique")</f>
        <v/>
      </c>
      <c r="Q505" s="4">
        <f>IF(TRIM(Raw_Data!L505)="","Yes","No")</f>
        <v/>
      </c>
      <c r="R505" s="4">
        <f>IF(ISNUMBER(B505),"Valid","INVALID")</f>
        <v/>
      </c>
    </row>
    <row r="506">
      <c r="A506" s="4">
        <f>TRIM(Raw_Data!A506)</f>
        <v/>
      </c>
      <c r="B506" s="5">
        <f>Raw_Data!B506</f>
        <v/>
      </c>
      <c r="C506" s="4">
        <f>TRIM(Raw_Data!C506)</f>
        <v/>
      </c>
      <c r="D506" s="4">
        <f>PROPER(TRIM(Raw_Data!D506))</f>
        <v/>
      </c>
      <c r="E506" s="4">
        <f>Raw_Data!E506</f>
        <v/>
      </c>
      <c r="F506" s="6">
        <f>ROUND(Raw_Data!F506,2)</f>
        <v/>
      </c>
      <c r="G506" s="4">
        <f>PROPER(TRIM(Raw_Data!G506))</f>
        <v/>
      </c>
      <c r="H506" s="4">
        <f>PROPER(TRIM(Raw_Data!H506))</f>
        <v/>
      </c>
      <c r="I506" s="4">
        <f>PROPER(TRIM(Raw_Data!I506))</f>
        <v/>
      </c>
      <c r="J506" s="4">
        <f>TRIM(Raw_Data!J506)</f>
        <v/>
      </c>
      <c r="K506" s="4">
        <f>Raw_Data!K506</f>
        <v/>
      </c>
      <c r="L506" s="4">
        <f>IF(TRIM(Raw_Data!L506)="","No Coupon",TRIM(Raw_Data!L506))</f>
        <v/>
      </c>
      <c r="M506" s="4">
        <f>PROPER(TRIM(Raw_Data!M506))</f>
        <v/>
      </c>
      <c r="N506" s="6">
        <f>ROUND(Raw_Data!N506,2)</f>
        <v/>
      </c>
      <c r="O506" s="7">
        <f>IF(COUNTIF($A$2:$A$1201,A506)&gt;1,"DUPLICATE","Unique")</f>
        <v/>
      </c>
      <c r="P506" s="7">
        <f>IF(COUNTIF($J$2:$J$1201,J506)&gt;1,"DUPLICATE","Unique")</f>
        <v/>
      </c>
      <c r="Q506" s="4">
        <f>IF(TRIM(Raw_Data!L506)="","Yes","No")</f>
        <v/>
      </c>
      <c r="R506" s="4">
        <f>IF(ISNUMBER(B506),"Valid","INVALID")</f>
        <v/>
      </c>
    </row>
    <row r="507">
      <c r="A507" s="4">
        <f>TRIM(Raw_Data!A507)</f>
        <v/>
      </c>
      <c r="B507" s="5">
        <f>Raw_Data!B507</f>
        <v/>
      </c>
      <c r="C507" s="4">
        <f>TRIM(Raw_Data!C507)</f>
        <v/>
      </c>
      <c r="D507" s="4">
        <f>PROPER(TRIM(Raw_Data!D507))</f>
        <v/>
      </c>
      <c r="E507" s="4">
        <f>Raw_Data!E507</f>
        <v/>
      </c>
      <c r="F507" s="6">
        <f>ROUND(Raw_Data!F507,2)</f>
        <v/>
      </c>
      <c r="G507" s="4">
        <f>PROPER(TRIM(Raw_Data!G507))</f>
        <v/>
      </c>
      <c r="H507" s="4">
        <f>PROPER(TRIM(Raw_Data!H507))</f>
        <v/>
      </c>
      <c r="I507" s="4">
        <f>PROPER(TRIM(Raw_Data!I507))</f>
        <v/>
      </c>
      <c r="J507" s="4">
        <f>TRIM(Raw_Data!J507)</f>
        <v/>
      </c>
      <c r="K507" s="4">
        <f>Raw_Data!K507</f>
        <v/>
      </c>
      <c r="L507" s="4">
        <f>IF(TRIM(Raw_Data!L507)="","No Coupon",TRIM(Raw_Data!L507))</f>
        <v/>
      </c>
      <c r="M507" s="4">
        <f>PROPER(TRIM(Raw_Data!M507))</f>
        <v/>
      </c>
      <c r="N507" s="6">
        <f>ROUND(Raw_Data!N507,2)</f>
        <v/>
      </c>
      <c r="O507" s="7">
        <f>IF(COUNTIF($A$2:$A$1201,A507)&gt;1,"DUPLICATE","Unique")</f>
        <v/>
      </c>
      <c r="P507" s="7">
        <f>IF(COUNTIF($J$2:$J$1201,J507)&gt;1,"DUPLICATE","Unique")</f>
        <v/>
      </c>
      <c r="Q507" s="4">
        <f>IF(TRIM(Raw_Data!L507)="","Yes","No")</f>
        <v/>
      </c>
      <c r="R507" s="4">
        <f>IF(ISNUMBER(B507),"Valid","INVALID")</f>
        <v/>
      </c>
    </row>
    <row r="508">
      <c r="A508" s="4">
        <f>TRIM(Raw_Data!A508)</f>
        <v/>
      </c>
      <c r="B508" s="5">
        <f>Raw_Data!B508</f>
        <v/>
      </c>
      <c r="C508" s="4">
        <f>TRIM(Raw_Data!C508)</f>
        <v/>
      </c>
      <c r="D508" s="4">
        <f>PROPER(TRIM(Raw_Data!D508))</f>
        <v/>
      </c>
      <c r="E508" s="4">
        <f>Raw_Data!E508</f>
        <v/>
      </c>
      <c r="F508" s="6">
        <f>ROUND(Raw_Data!F508,2)</f>
        <v/>
      </c>
      <c r="G508" s="4">
        <f>PROPER(TRIM(Raw_Data!G508))</f>
        <v/>
      </c>
      <c r="H508" s="4">
        <f>PROPER(TRIM(Raw_Data!H508))</f>
        <v/>
      </c>
      <c r="I508" s="4">
        <f>PROPER(TRIM(Raw_Data!I508))</f>
        <v/>
      </c>
      <c r="J508" s="4">
        <f>TRIM(Raw_Data!J508)</f>
        <v/>
      </c>
      <c r="K508" s="4">
        <f>Raw_Data!K508</f>
        <v/>
      </c>
      <c r="L508" s="4">
        <f>IF(TRIM(Raw_Data!L508)="","No Coupon",TRIM(Raw_Data!L508))</f>
        <v/>
      </c>
      <c r="M508" s="4">
        <f>PROPER(TRIM(Raw_Data!M508))</f>
        <v/>
      </c>
      <c r="N508" s="6">
        <f>ROUND(Raw_Data!N508,2)</f>
        <v/>
      </c>
      <c r="O508" s="7">
        <f>IF(COUNTIF($A$2:$A$1201,A508)&gt;1,"DUPLICATE","Unique")</f>
        <v/>
      </c>
      <c r="P508" s="7">
        <f>IF(COUNTIF($J$2:$J$1201,J508)&gt;1,"DUPLICATE","Unique")</f>
        <v/>
      </c>
      <c r="Q508" s="4">
        <f>IF(TRIM(Raw_Data!L508)="","Yes","No")</f>
        <v/>
      </c>
      <c r="R508" s="4">
        <f>IF(ISNUMBER(B508),"Valid","INVALID")</f>
        <v/>
      </c>
    </row>
    <row r="509">
      <c r="A509" s="4">
        <f>TRIM(Raw_Data!A509)</f>
        <v/>
      </c>
      <c r="B509" s="5">
        <f>Raw_Data!B509</f>
        <v/>
      </c>
      <c r="C509" s="4">
        <f>TRIM(Raw_Data!C509)</f>
        <v/>
      </c>
      <c r="D509" s="4">
        <f>PROPER(TRIM(Raw_Data!D509))</f>
        <v/>
      </c>
      <c r="E509" s="4">
        <f>Raw_Data!E509</f>
        <v/>
      </c>
      <c r="F509" s="6">
        <f>ROUND(Raw_Data!F509,2)</f>
        <v/>
      </c>
      <c r="G509" s="4">
        <f>PROPER(TRIM(Raw_Data!G509))</f>
        <v/>
      </c>
      <c r="H509" s="4">
        <f>PROPER(TRIM(Raw_Data!H509))</f>
        <v/>
      </c>
      <c r="I509" s="4">
        <f>PROPER(TRIM(Raw_Data!I509))</f>
        <v/>
      </c>
      <c r="J509" s="4">
        <f>TRIM(Raw_Data!J509)</f>
        <v/>
      </c>
      <c r="K509" s="4">
        <f>Raw_Data!K509</f>
        <v/>
      </c>
      <c r="L509" s="4">
        <f>IF(TRIM(Raw_Data!L509)="","No Coupon",TRIM(Raw_Data!L509))</f>
        <v/>
      </c>
      <c r="M509" s="4">
        <f>PROPER(TRIM(Raw_Data!M509))</f>
        <v/>
      </c>
      <c r="N509" s="6">
        <f>ROUND(Raw_Data!N509,2)</f>
        <v/>
      </c>
      <c r="O509" s="7">
        <f>IF(COUNTIF($A$2:$A$1201,A509)&gt;1,"DUPLICATE","Unique")</f>
        <v/>
      </c>
      <c r="P509" s="7">
        <f>IF(COUNTIF($J$2:$J$1201,J509)&gt;1,"DUPLICATE","Unique")</f>
        <v/>
      </c>
      <c r="Q509" s="4">
        <f>IF(TRIM(Raw_Data!L509)="","Yes","No")</f>
        <v/>
      </c>
      <c r="R509" s="4">
        <f>IF(ISNUMBER(B509),"Valid","INVALID")</f>
        <v/>
      </c>
    </row>
    <row r="510">
      <c r="A510" s="4">
        <f>TRIM(Raw_Data!A510)</f>
        <v/>
      </c>
      <c r="B510" s="5">
        <f>Raw_Data!B510</f>
        <v/>
      </c>
      <c r="C510" s="4">
        <f>TRIM(Raw_Data!C510)</f>
        <v/>
      </c>
      <c r="D510" s="4">
        <f>PROPER(TRIM(Raw_Data!D510))</f>
        <v/>
      </c>
      <c r="E510" s="4">
        <f>Raw_Data!E510</f>
        <v/>
      </c>
      <c r="F510" s="6">
        <f>ROUND(Raw_Data!F510,2)</f>
        <v/>
      </c>
      <c r="G510" s="4">
        <f>PROPER(TRIM(Raw_Data!G510))</f>
        <v/>
      </c>
      <c r="H510" s="4">
        <f>PROPER(TRIM(Raw_Data!H510))</f>
        <v/>
      </c>
      <c r="I510" s="4">
        <f>PROPER(TRIM(Raw_Data!I510))</f>
        <v/>
      </c>
      <c r="J510" s="4">
        <f>TRIM(Raw_Data!J510)</f>
        <v/>
      </c>
      <c r="K510" s="4">
        <f>Raw_Data!K510</f>
        <v/>
      </c>
      <c r="L510" s="4">
        <f>IF(TRIM(Raw_Data!L510)="","No Coupon",TRIM(Raw_Data!L510))</f>
        <v/>
      </c>
      <c r="M510" s="4">
        <f>PROPER(TRIM(Raw_Data!M510))</f>
        <v/>
      </c>
      <c r="N510" s="6">
        <f>ROUND(Raw_Data!N510,2)</f>
        <v/>
      </c>
      <c r="O510" s="7">
        <f>IF(COUNTIF($A$2:$A$1201,A510)&gt;1,"DUPLICATE","Unique")</f>
        <v/>
      </c>
      <c r="P510" s="7">
        <f>IF(COUNTIF($J$2:$J$1201,J510)&gt;1,"DUPLICATE","Unique")</f>
        <v/>
      </c>
      <c r="Q510" s="4">
        <f>IF(TRIM(Raw_Data!L510)="","Yes","No")</f>
        <v/>
      </c>
      <c r="R510" s="4">
        <f>IF(ISNUMBER(B510),"Valid","INVALID")</f>
        <v/>
      </c>
    </row>
    <row r="511">
      <c r="A511" s="4">
        <f>TRIM(Raw_Data!A511)</f>
        <v/>
      </c>
      <c r="B511" s="5">
        <f>Raw_Data!B511</f>
        <v/>
      </c>
      <c r="C511" s="4">
        <f>TRIM(Raw_Data!C511)</f>
        <v/>
      </c>
      <c r="D511" s="4">
        <f>PROPER(TRIM(Raw_Data!D511))</f>
        <v/>
      </c>
      <c r="E511" s="4">
        <f>Raw_Data!E511</f>
        <v/>
      </c>
      <c r="F511" s="6">
        <f>ROUND(Raw_Data!F511,2)</f>
        <v/>
      </c>
      <c r="G511" s="4">
        <f>PROPER(TRIM(Raw_Data!G511))</f>
        <v/>
      </c>
      <c r="H511" s="4">
        <f>PROPER(TRIM(Raw_Data!H511))</f>
        <v/>
      </c>
      <c r="I511" s="4">
        <f>PROPER(TRIM(Raw_Data!I511))</f>
        <v/>
      </c>
      <c r="J511" s="4">
        <f>TRIM(Raw_Data!J511)</f>
        <v/>
      </c>
      <c r="K511" s="4">
        <f>Raw_Data!K511</f>
        <v/>
      </c>
      <c r="L511" s="4">
        <f>IF(TRIM(Raw_Data!L511)="","No Coupon",TRIM(Raw_Data!L511))</f>
        <v/>
      </c>
      <c r="M511" s="4">
        <f>PROPER(TRIM(Raw_Data!M511))</f>
        <v/>
      </c>
      <c r="N511" s="6">
        <f>ROUND(Raw_Data!N511,2)</f>
        <v/>
      </c>
      <c r="O511" s="7">
        <f>IF(COUNTIF($A$2:$A$1201,A511)&gt;1,"DUPLICATE","Unique")</f>
        <v/>
      </c>
      <c r="P511" s="7">
        <f>IF(COUNTIF($J$2:$J$1201,J511)&gt;1,"DUPLICATE","Unique")</f>
        <v/>
      </c>
      <c r="Q511" s="4">
        <f>IF(TRIM(Raw_Data!L511)="","Yes","No")</f>
        <v/>
      </c>
      <c r="R511" s="4">
        <f>IF(ISNUMBER(B511),"Valid","INVALID")</f>
        <v/>
      </c>
    </row>
    <row r="512">
      <c r="A512" s="4">
        <f>TRIM(Raw_Data!A512)</f>
        <v/>
      </c>
      <c r="B512" s="5">
        <f>Raw_Data!B512</f>
        <v/>
      </c>
      <c r="C512" s="4">
        <f>TRIM(Raw_Data!C512)</f>
        <v/>
      </c>
      <c r="D512" s="4">
        <f>PROPER(TRIM(Raw_Data!D512))</f>
        <v/>
      </c>
      <c r="E512" s="4">
        <f>Raw_Data!E512</f>
        <v/>
      </c>
      <c r="F512" s="6">
        <f>ROUND(Raw_Data!F512,2)</f>
        <v/>
      </c>
      <c r="G512" s="4">
        <f>PROPER(TRIM(Raw_Data!G512))</f>
        <v/>
      </c>
      <c r="H512" s="4">
        <f>PROPER(TRIM(Raw_Data!H512))</f>
        <v/>
      </c>
      <c r="I512" s="4">
        <f>PROPER(TRIM(Raw_Data!I512))</f>
        <v/>
      </c>
      <c r="J512" s="4">
        <f>TRIM(Raw_Data!J512)</f>
        <v/>
      </c>
      <c r="K512" s="4">
        <f>Raw_Data!K512</f>
        <v/>
      </c>
      <c r="L512" s="4">
        <f>IF(TRIM(Raw_Data!L512)="","No Coupon",TRIM(Raw_Data!L512))</f>
        <v/>
      </c>
      <c r="M512" s="4">
        <f>PROPER(TRIM(Raw_Data!M512))</f>
        <v/>
      </c>
      <c r="N512" s="6">
        <f>ROUND(Raw_Data!N512,2)</f>
        <v/>
      </c>
      <c r="O512" s="7">
        <f>IF(COUNTIF($A$2:$A$1201,A512)&gt;1,"DUPLICATE","Unique")</f>
        <v/>
      </c>
      <c r="P512" s="7">
        <f>IF(COUNTIF($J$2:$J$1201,J512)&gt;1,"DUPLICATE","Unique")</f>
        <v/>
      </c>
      <c r="Q512" s="4">
        <f>IF(TRIM(Raw_Data!L512)="","Yes","No")</f>
        <v/>
      </c>
      <c r="R512" s="4">
        <f>IF(ISNUMBER(B512),"Valid","INVALID")</f>
        <v/>
      </c>
    </row>
    <row r="513">
      <c r="A513" s="4">
        <f>TRIM(Raw_Data!A513)</f>
        <v/>
      </c>
      <c r="B513" s="5">
        <f>Raw_Data!B513</f>
        <v/>
      </c>
      <c r="C513" s="4">
        <f>TRIM(Raw_Data!C513)</f>
        <v/>
      </c>
      <c r="D513" s="4">
        <f>PROPER(TRIM(Raw_Data!D513))</f>
        <v/>
      </c>
      <c r="E513" s="4">
        <f>Raw_Data!E513</f>
        <v/>
      </c>
      <c r="F513" s="6">
        <f>ROUND(Raw_Data!F513,2)</f>
        <v/>
      </c>
      <c r="G513" s="4">
        <f>PROPER(TRIM(Raw_Data!G513))</f>
        <v/>
      </c>
      <c r="H513" s="4">
        <f>PROPER(TRIM(Raw_Data!H513))</f>
        <v/>
      </c>
      <c r="I513" s="4">
        <f>PROPER(TRIM(Raw_Data!I513))</f>
        <v/>
      </c>
      <c r="J513" s="4">
        <f>TRIM(Raw_Data!J513)</f>
        <v/>
      </c>
      <c r="K513" s="4">
        <f>Raw_Data!K513</f>
        <v/>
      </c>
      <c r="L513" s="4">
        <f>IF(TRIM(Raw_Data!L513)="","No Coupon",TRIM(Raw_Data!L513))</f>
        <v/>
      </c>
      <c r="M513" s="4">
        <f>PROPER(TRIM(Raw_Data!M513))</f>
        <v/>
      </c>
      <c r="N513" s="6">
        <f>ROUND(Raw_Data!N513,2)</f>
        <v/>
      </c>
      <c r="O513" s="7">
        <f>IF(COUNTIF($A$2:$A$1201,A513)&gt;1,"DUPLICATE","Unique")</f>
        <v/>
      </c>
      <c r="P513" s="7">
        <f>IF(COUNTIF($J$2:$J$1201,J513)&gt;1,"DUPLICATE","Unique")</f>
        <v/>
      </c>
      <c r="Q513" s="4">
        <f>IF(TRIM(Raw_Data!L513)="","Yes","No")</f>
        <v/>
      </c>
      <c r="R513" s="4">
        <f>IF(ISNUMBER(B513),"Valid","INVALID")</f>
        <v/>
      </c>
    </row>
    <row r="514">
      <c r="A514" s="4">
        <f>TRIM(Raw_Data!A514)</f>
        <v/>
      </c>
      <c r="B514" s="5">
        <f>Raw_Data!B514</f>
        <v/>
      </c>
      <c r="C514" s="4">
        <f>TRIM(Raw_Data!C514)</f>
        <v/>
      </c>
      <c r="D514" s="4">
        <f>PROPER(TRIM(Raw_Data!D514))</f>
        <v/>
      </c>
      <c r="E514" s="4">
        <f>Raw_Data!E514</f>
        <v/>
      </c>
      <c r="F514" s="6">
        <f>ROUND(Raw_Data!F514,2)</f>
        <v/>
      </c>
      <c r="G514" s="4">
        <f>PROPER(TRIM(Raw_Data!G514))</f>
        <v/>
      </c>
      <c r="H514" s="4">
        <f>PROPER(TRIM(Raw_Data!H514))</f>
        <v/>
      </c>
      <c r="I514" s="4">
        <f>PROPER(TRIM(Raw_Data!I514))</f>
        <v/>
      </c>
      <c r="J514" s="4">
        <f>TRIM(Raw_Data!J514)</f>
        <v/>
      </c>
      <c r="K514" s="4">
        <f>Raw_Data!K514</f>
        <v/>
      </c>
      <c r="L514" s="4">
        <f>IF(TRIM(Raw_Data!L514)="","No Coupon",TRIM(Raw_Data!L514))</f>
        <v/>
      </c>
      <c r="M514" s="4">
        <f>PROPER(TRIM(Raw_Data!M514))</f>
        <v/>
      </c>
      <c r="N514" s="6">
        <f>ROUND(Raw_Data!N514,2)</f>
        <v/>
      </c>
      <c r="O514" s="7">
        <f>IF(COUNTIF($A$2:$A$1201,A514)&gt;1,"DUPLICATE","Unique")</f>
        <v/>
      </c>
      <c r="P514" s="7">
        <f>IF(COUNTIF($J$2:$J$1201,J514)&gt;1,"DUPLICATE","Unique")</f>
        <v/>
      </c>
      <c r="Q514" s="4">
        <f>IF(TRIM(Raw_Data!L514)="","Yes","No")</f>
        <v/>
      </c>
      <c r="R514" s="4">
        <f>IF(ISNUMBER(B514),"Valid","INVALID")</f>
        <v/>
      </c>
    </row>
    <row r="515">
      <c r="A515" s="4">
        <f>TRIM(Raw_Data!A515)</f>
        <v/>
      </c>
      <c r="B515" s="5">
        <f>Raw_Data!B515</f>
        <v/>
      </c>
      <c r="C515" s="4">
        <f>TRIM(Raw_Data!C515)</f>
        <v/>
      </c>
      <c r="D515" s="4">
        <f>PROPER(TRIM(Raw_Data!D515))</f>
        <v/>
      </c>
      <c r="E515" s="4">
        <f>Raw_Data!E515</f>
        <v/>
      </c>
      <c r="F515" s="6">
        <f>ROUND(Raw_Data!F515,2)</f>
        <v/>
      </c>
      <c r="G515" s="4">
        <f>PROPER(TRIM(Raw_Data!G515))</f>
        <v/>
      </c>
      <c r="H515" s="4">
        <f>PROPER(TRIM(Raw_Data!H515))</f>
        <v/>
      </c>
      <c r="I515" s="4">
        <f>PROPER(TRIM(Raw_Data!I515))</f>
        <v/>
      </c>
      <c r="J515" s="4">
        <f>TRIM(Raw_Data!J515)</f>
        <v/>
      </c>
      <c r="K515" s="4">
        <f>Raw_Data!K515</f>
        <v/>
      </c>
      <c r="L515" s="4">
        <f>IF(TRIM(Raw_Data!L515)="","No Coupon",TRIM(Raw_Data!L515))</f>
        <v/>
      </c>
      <c r="M515" s="4">
        <f>PROPER(TRIM(Raw_Data!M515))</f>
        <v/>
      </c>
      <c r="N515" s="6">
        <f>ROUND(Raw_Data!N515,2)</f>
        <v/>
      </c>
      <c r="O515" s="7">
        <f>IF(COUNTIF($A$2:$A$1201,A515)&gt;1,"DUPLICATE","Unique")</f>
        <v/>
      </c>
      <c r="P515" s="7">
        <f>IF(COUNTIF($J$2:$J$1201,J515)&gt;1,"DUPLICATE","Unique")</f>
        <v/>
      </c>
      <c r="Q515" s="4">
        <f>IF(TRIM(Raw_Data!L515)="","Yes","No")</f>
        <v/>
      </c>
      <c r="R515" s="4">
        <f>IF(ISNUMBER(B515),"Valid","INVALID")</f>
        <v/>
      </c>
    </row>
    <row r="516">
      <c r="A516" s="4">
        <f>TRIM(Raw_Data!A516)</f>
        <v/>
      </c>
      <c r="B516" s="5">
        <f>Raw_Data!B516</f>
        <v/>
      </c>
      <c r="C516" s="4">
        <f>TRIM(Raw_Data!C516)</f>
        <v/>
      </c>
      <c r="D516" s="4">
        <f>PROPER(TRIM(Raw_Data!D516))</f>
        <v/>
      </c>
      <c r="E516" s="4">
        <f>Raw_Data!E516</f>
        <v/>
      </c>
      <c r="F516" s="6">
        <f>ROUND(Raw_Data!F516,2)</f>
        <v/>
      </c>
      <c r="G516" s="4">
        <f>PROPER(TRIM(Raw_Data!G516))</f>
        <v/>
      </c>
      <c r="H516" s="4">
        <f>PROPER(TRIM(Raw_Data!H516))</f>
        <v/>
      </c>
      <c r="I516" s="4">
        <f>PROPER(TRIM(Raw_Data!I516))</f>
        <v/>
      </c>
      <c r="J516" s="4">
        <f>TRIM(Raw_Data!J516)</f>
        <v/>
      </c>
      <c r="K516" s="4">
        <f>Raw_Data!K516</f>
        <v/>
      </c>
      <c r="L516" s="4">
        <f>IF(TRIM(Raw_Data!L516)="","No Coupon",TRIM(Raw_Data!L516))</f>
        <v/>
      </c>
      <c r="M516" s="4">
        <f>PROPER(TRIM(Raw_Data!M516))</f>
        <v/>
      </c>
      <c r="N516" s="6">
        <f>ROUND(Raw_Data!N516,2)</f>
        <v/>
      </c>
      <c r="O516" s="7">
        <f>IF(COUNTIF($A$2:$A$1201,A516)&gt;1,"DUPLICATE","Unique")</f>
        <v/>
      </c>
      <c r="P516" s="7">
        <f>IF(COUNTIF($J$2:$J$1201,J516)&gt;1,"DUPLICATE","Unique")</f>
        <v/>
      </c>
      <c r="Q516" s="4">
        <f>IF(TRIM(Raw_Data!L516)="","Yes","No")</f>
        <v/>
      </c>
      <c r="R516" s="4">
        <f>IF(ISNUMBER(B516),"Valid","INVALID")</f>
        <v/>
      </c>
    </row>
    <row r="517">
      <c r="A517" s="4">
        <f>TRIM(Raw_Data!A517)</f>
        <v/>
      </c>
      <c r="B517" s="5">
        <f>Raw_Data!B517</f>
        <v/>
      </c>
      <c r="C517" s="4">
        <f>TRIM(Raw_Data!C517)</f>
        <v/>
      </c>
      <c r="D517" s="4">
        <f>PROPER(TRIM(Raw_Data!D517))</f>
        <v/>
      </c>
      <c r="E517" s="4">
        <f>Raw_Data!E517</f>
        <v/>
      </c>
      <c r="F517" s="6">
        <f>ROUND(Raw_Data!F517,2)</f>
        <v/>
      </c>
      <c r="G517" s="4">
        <f>PROPER(TRIM(Raw_Data!G517))</f>
        <v/>
      </c>
      <c r="H517" s="4">
        <f>PROPER(TRIM(Raw_Data!H517))</f>
        <v/>
      </c>
      <c r="I517" s="4">
        <f>PROPER(TRIM(Raw_Data!I517))</f>
        <v/>
      </c>
      <c r="J517" s="4">
        <f>TRIM(Raw_Data!J517)</f>
        <v/>
      </c>
      <c r="K517" s="4">
        <f>Raw_Data!K517</f>
        <v/>
      </c>
      <c r="L517" s="4">
        <f>IF(TRIM(Raw_Data!L517)="","No Coupon",TRIM(Raw_Data!L517))</f>
        <v/>
      </c>
      <c r="M517" s="4">
        <f>PROPER(TRIM(Raw_Data!M517))</f>
        <v/>
      </c>
      <c r="N517" s="6">
        <f>ROUND(Raw_Data!N517,2)</f>
        <v/>
      </c>
      <c r="O517" s="7">
        <f>IF(COUNTIF($A$2:$A$1201,A517)&gt;1,"DUPLICATE","Unique")</f>
        <v/>
      </c>
      <c r="P517" s="7">
        <f>IF(COUNTIF($J$2:$J$1201,J517)&gt;1,"DUPLICATE","Unique")</f>
        <v/>
      </c>
      <c r="Q517" s="4">
        <f>IF(TRIM(Raw_Data!L517)="","Yes","No")</f>
        <v/>
      </c>
      <c r="R517" s="4">
        <f>IF(ISNUMBER(B517),"Valid","INVALID")</f>
        <v/>
      </c>
    </row>
    <row r="518">
      <c r="A518" s="4">
        <f>TRIM(Raw_Data!A518)</f>
        <v/>
      </c>
      <c r="B518" s="5">
        <f>Raw_Data!B518</f>
        <v/>
      </c>
      <c r="C518" s="4">
        <f>TRIM(Raw_Data!C518)</f>
        <v/>
      </c>
      <c r="D518" s="4">
        <f>PROPER(TRIM(Raw_Data!D518))</f>
        <v/>
      </c>
      <c r="E518" s="4">
        <f>Raw_Data!E518</f>
        <v/>
      </c>
      <c r="F518" s="6">
        <f>ROUND(Raw_Data!F518,2)</f>
        <v/>
      </c>
      <c r="G518" s="4">
        <f>PROPER(TRIM(Raw_Data!G518))</f>
        <v/>
      </c>
      <c r="H518" s="4">
        <f>PROPER(TRIM(Raw_Data!H518))</f>
        <v/>
      </c>
      <c r="I518" s="4">
        <f>PROPER(TRIM(Raw_Data!I518))</f>
        <v/>
      </c>
      <c r="J518" s="4">
        <f>TRIM(Raw_Data!J518)</f>
        <v/>
      </c>
      <c r="K518" s="4">
        <f>Raw_Data!K518</f>
        <v/>
      </c>
      <c r="L518" s="4">
        <f>IF(TRIM(Raw_Data!L518)="","No Coupon",TRIM(Raw_Data!L518))</f>
        <v/>
      </c>
      <c r="M518" s="4">
        <f>PROPER(TRIM(Raw_Data!M518))</f>
        <v/>
      </c>
      <c r="N518" s="6">
        <f>ROUND(Raw_Data!N518,2)</f>
        <v/>
      </c>
      <c r="O518" s="7">
        <f>IF(COUNTIF($A$2:$A$1201,A518)&gt;1,"DUPLICATE","Unique")</f>
        <v/>
      </c>
      <c r="P518" s="7">
        <f>IF(COUNTIF($J$2:$J$1201,J518)&gt;1,"DUPLICATE","Unique")</f>
        <v/>
      </c>
      <c r="Q518" s="4">
        <f>IF(TRIM(Raw_Data!L518)="","Yes","No")</f>
        <v/>
      </c>
      <c r="R518" s="4">
        <f>IF(ISNUMBER(B518),"Valid","INVALID")</f>
        <v/>
      </c>
    </row>
    <row r="519">
      <c r="A519" s="4">
        <f>TRIM(Raw_Data!A519)</f>
        <v/>
      </c>
      <c r="B519" s="5">
        <f>Raw_Data!B519</f>
        <v/>
      </c>
      <c r="C519" s="4">
        <f>TRIM(Raw_Data!C519)</f>
        <v/>
      </c>
      <c r="D519" s="4">
        <f>PROPER(TRIM(Raw_Data!D519))</f>
        <v/>
      </c>
      <c r="E519" s="4">
        <f>Raw_Data!E519</f>
        <v/>
      </c>
      <c r="F519" s="6">
        <f>ROUND(Raw_Data!F519,2)</f>
        <v/>
      </c>
      <c r="G519" s="4">
        <f>PROPER(TRIM(Raw_Data!G519))</f>
        <v/>
      </c>
      <c r="H519" s="4">
        <f>PROPER(TRIM(Raw_Data!H519))</f>
        <v/>
      </c>
      <c r="I519" s="4">
        <f>PROPER(TRIM(Raw_Data!I519))</f>
        <v/>
      </c>
      <c r="J519" s="4">
        <f>TRIM(Raw_Data!J519)</f>
        <v/>
      </c>
      <c r="K519" s="4">
        <f>Raw_Data!K519</f>
        <v/>
      </c>
      <c r="L519" s="4">
        <f>IF(TRIM(Raw_Data!L519)="","No Coupon",TRIM(Raw_Data!L519))</f>
        <v/>
      </c>
      <c r="M519" s="4">
        <f>PROPER(TRIM(Raw_Data!M519))</f>
        <v/>
      </c>
      <c r="N519" s="6">
        <f>ROUND(Raw_Data!N519,2)</f>
        <v/>
      </c>
      <c r="O519" s="7">
        <f>IF(COUNTIF($A$2:$A$1201,A519)&gt;1,"DUPLICATE","Unique")</f>
        <v/>
      </c>
      <c r="P519" s="7">
        <f>IF(COUNTIF($J$2:$J$1201,J519)&gt;1,"DUPLICATE","Unique")</f>
        <v/>
      </c>
      <c r="Q519" s="4">
        <f>IF(TRIM(Raw_Data!L519)="","Yes","No")</f>
        <v/>
      </c>
      <c r="R519" s="4">
        <f>IF(ISNUMBER(B519),"Valid","INVALID")</f>
        <v/>
      </c>
    </row>
    <row r="520">
      <c r="A520" s="4">
        <f>TRIM(Raw_Data!A520)</f>
        <v/>
      </c>
      <c r="B520" s="5">
        <f>Raw_Data!B520</f>
        <v/>
      </c>
      <c r="C520" s="4">
        <f>TRIM(Raw_Data!C520)</f>
        <v/>
      </c>
      <c r="D520" s="4">
        <f>PROPER(TRIM(Raw_Data!D520))</f>
        <v/>
      </c>
      <c r="E520" s="4">
        <f>Raw_Data!E520</f>
        <v/>
      </c>
      <c r="F520" s="6">
        <f>ROUND(Raw_Data!F520,2)</f>
        <v/>
      </c>
      <c r="G520" s="4">
        <f>PROPER(TRIM(Raw_Data!G520))</f>
        <v/>
      </c>
      <c r="H520" s="4">
        <f>PROPER(TRIM(Raw_Data!H520))</f>
        <v/>
      </c>
      <c r="I520" s="4">
        <f>PROPER(TRIM(Raw_Data!I520))</f>
        <v/>
      </c>
      <c r="J520" s="4">
        <f>TRIM(Raw_Data!J520)</f>
        <v/>
      </c>
      <c r="K520" s="4">
        <f>Raw_Data!K520</f>
        <v/>
      </c>
      <c r="L520" s="4">
        <f>IF(TRIM(Raw_Data!L520)="","No Coupon",TRIM(Raw_Data!L520))</f>
        <v/>
      </c>
      <c r="M520" s="4">
        <f>PROPER(TRIM(Raw_Data!M520))</f>
        <v/>
      </c>
      <c r="N520" s="6">
        <f>ROUND(Raw_Data!N520,2)</f>
        <v/>
      </c>
      <c r="O520" s="7">
        <f>IF(COUNTIF($A$2:$A$1201,A520)&gt;1,"DUPLICATE","Unique")</f>
        <v/>
      </c>
      <c r="P520" s="7">
        <f>IF(COUNTIF($J$2:$J$1201,J520)&gt;1,"DUPLICATE","Unique")</f>
        <v/>
      </c>
      <c r="Q520" s="4">
        <f>IF(TRIM(Raw_Data!L520)="","Yes","No")</f>
        <v/>
      </c>
      <c r="R520" s="4">
        <f>IF(ISNUMBER(B520),"Valid","INVALID")</f>
        <v/>
      </c>
    </row>
    <row r="521">
      <c r="A521" s="4">
        <f>TRIM(Raw_Data!A521)</f>
        <v/>
      </c>
      <c r="B521" s="5">
        <f>Raw_Data!B521</f>
        <v/>
      </c>
      <c r="C521" s="4">
        <f>TRIM(Raw_Data!C521)</f>
        <v/>
      </c>
      <c r="D521" s="4">
        <f>PROPER(TRIM(Raw_Data!D521))</f>
        <v/>
      </c>
      <c r="E521" s="4">
        <f>Raw_Data!E521</f>
        <v/>
      </c>
      <c r="F521" s="6">
        <f>ROUND(Raw_Data!F521,2)</f>
        <v/>
      </c>
      <c r="G521" s="4">
        <f>PROPER(TRIM(Raw_Data!G521))</f>
        <v/>
      </c>
      <c r="H521" s="4">
        <f>PROPER(TRIM(Raw_Data!H521))</f>
        <v/>
      </c>
      <c r="I521" s="4">
        <f>PROPER(TRIM(Raw_Data!I521))</f>
        <v/>
      </c>
      <c r="J521" s="4">
        <f>TRIM(Raw_Data!J521)</f>
        <v/>
      </c>
      <c r="K521" s="4">
        <f>Raw_Data!K521</f>
        <v/>
      </c>
      <c r="L521" s="4">
        <f>IF(TRIM(Raw_Data!L521)="","No Coupon",TRIM(Raw_Data!L521))</f>
        <v/>
      </c>
      <c r="M521" s="4">
        <f>PROPER(TRIM(Raw_Data!M521))</f>
        <v/>
      </c>
      <c r="N521" s="6">
        <f>ROUND(Raw_Data!N521,2)</f>
        <v/>
      </c>
      <c r="O521" s="7">
        <f>IF(COUNTIF($A$2:$A$1201,A521)&gt;1,"DUPLICATE","Unique")</f>
        <v/>
      </c>
      <c r="P521" s="7">
        <f>IF(COUNTIF($J$2:$J$1201,J521)&gt;1,"DUPLICATE","Unique")</f>
        <v/>
      </c>
      <c r="Q521" s="4">
        <f>IF(TRIM(Raw_Data!L521)="","Yes","No")</f>
        <v/>
      </c>
      <c r="R521" s="4">
        <f>IF(ISNUMBER(B521),"Valid","INVALID")</f>
        <v/>
      </c>
    </row>
    <row r="522">
      <c r="A522" s="4">
        <f>TRIM(Raw_Data!A522)</f>
        <v/>
      </c>
      <c r="B522" s="5">
        <f>Raw_Data!B522</f>
        <v/>
      </c>
      <c r="C522" s="4">
        <f>TRIM(Raw_Data!C522)</f>
        <v/>
      </c>
      <c r="D522" s="4">
        <f>PROPER(TRIM(Raw_Data!D522))</f>
        <v/>
      </c>
      <c r="E522" s="4">
        <f>Raw_Data!E522</f>
        <v/>
      </c>
      <c r="F522" s="6">
        <f>ROUND(Raw_Data!F522,2)</f>
        <v/>
      </c>
      <c r="G522" s="4">
        <f>PROPER(TRIM(Raw_Data!G522))</f>
        <v/>
      </c>
      <c r="H522" s="4">
        <f>PROPER(TRIM(Raw_Data!H522))</f>
        <v/>
      </c>
      <c r="I522" s="4">
        <f>PROPER(TRIM(Raw_Data!I522))</f>
        <v/>
      </c>
      <c r="J522" s="4">
        <f>TRIM(Raw_Data!J522)</f>
        <v/>
      </c>
      <c r="K522" s="4">
        <f>Raw_Data!K522</f>
        <v/>
      </c>
      <c r="L522" s="4">
        <f>IF(TRIM(Raw_Data!L522)="","No Coupon",TRIM(Raw_Data!L522))</f>
        <v/>
      </c>
      <c r="M522" s="4">
        <f>PROPER(TRIM(Raw_Data!M522))</f>
        <v/>
      </c>
      <c r="N522" s="6">
        <f>ROUND(Raw_Data!N522,2)</f>
        <v/>
      </c>
      <c r="O522" s="7">
        <f>IF(COUNTIF($A$2:$A$1201,A522)&gt;1,"DUPLICATE","Unique")</f>
        <v/>
      </c>
      <c r="P522" s="7">
        <f>IF(COUNTIF($J$2:$J$1201,J522)&gt;1,"DUPLICATE","Unique")</f>
        <v/>
      </c>
      <c r="Q522" s="4">
        <f>IF(TRIM(Raw_Data!L522)="","Yes","No")</f>
        <v/>
      </c>
      <c r="R522" s="4">
        <f>IF(ISNUMBER(B522),"Valid","INVALID")</f>
        <v/>
      </c>
    </row>
    <row r="523">
      <c r="A523" s="4">
        <f>TRIM(Raw_Data!A523)</f>
        <v/>
      </c>
      <c r="B523" s="5">
        <f>Raw_Data!B523</f>
        <v/>
      </c>
      <c r="C523" s="4">
        <f>TRIM(Raw_Data!C523)</f>
        <v/>
      </c>
      <c r="D523" s="4">
        <f>PROPER(TRIM(Raw_Data!D523))</f>
        <v/>
      </c>
      <c r="E523" s="4">
        <f>Raw_Data!E523</f>
        <v/>
      </c>
      <c r="F523" s="6">
        <f>ROUND(Raw_Data!F523,2)</f>
        <v/>
      </c>
      <c r="G523" s="4">
        <f>PROPER(TRIM(Raw_Data!G523))</f>
        <v/>
      </c>
      <c r="H523" s="4">
        <f>PROPER(TRIM(Raw_Data!H523))</f>
        <v/>
      </c>
      <c r="I523" s="4">
        <f>PROPER(TRIM(Raw_Data!I523))</f>
        <v/>
      </c>
      <c r="J523" s="4">
        <f>TRIM(Raw_Data!J523)</f>
        <v/>
      </c>
      <c r="K523" s="4">
        <f>Raw_Data!K523</f>
        <v/>
      </c>
      <c r="L523" s="4">
        <f>IF(TRIM(Raw_Data!L523)="","No Coupon",TRIM(Raw_Data!L523))</f>
        <v/>
      </c>
      <c r="M523" s="4">
        <f>PROPER(TRIM(Raw_Data!M523))</f>
        <v/>
      </c>
      <c r="N523" s="6">
        <f>ROUND(Raw_Data!N523,2)</f>
        <v/>
      </c>
      <c r="O523" s="7">
        <f>IF(COUNTIF($A$2:$A$1201,A523)&gt;1,"DUPLICATE","Unique")</f>
        <v/>
      </c>
      <c r="P523" s="7">
        <f>IF(COUNTIF($J$2:$J$1201,J523)&gt;1,"DUPLICATE","Unique")</f>
        <v/>
      </c>
      <c r="Q523" s="4">
        <f>IF(TRIM(Raw_Data!L523)="","Yes","No")</f>
        <v/>
      </c>
      <c r="R523" s="4">
        <f>IF(ISNUMBER(B523),"Valid","INVALID")</f>
        <v/>
      </c>
    </row>
    <row r="524">
      <c r="A524" s="4">
        <f>TRIM(Raw_Data!A524)</f>
        <v/>
      </c>
      <c r="B524" s="5">
        <f>Raw_Data!B524</f>
        <v/>
      </c>
      <c r="C524" s="4">
        <f>TRIM(Raw_Data!C524)</f>
        <v/>
      </c>
      <c r="D524" s="4">
        <f>PROPER(TRIM(Raw_Data!D524))</f>
        <v/>
      </c>
      <c r="E524" s="4">
        <f>Raw_Data!E524</f>
        <v/>
      </c>
      <c r="F524" s="6">
        <f>ROUND(Raw_Data!F524,2)</f>
        <v/>
      </c>
      <c r="G524" s="4">
        <f>PROPER(TRIM(Raw_Data!G524))</f>
        <v/>
      </c>
      <c r="H524" s="4">
        <f>PROPER(TRIM(Raw_Data!H524))</f>
        <v/>
      </c>
      <c r="I524" s="4">
        <f>PROPER(TRIM(Raw_Data!I524))</f>
        <v/>
      </c>
      <c r="J524" s="4">
        <f>TRIM(Raw_Data!J524)</f>
        <v/>
      </c>
      <c r="K524" s="4">
        <f>Raw_Data!K524</f>
        <v/>
      </c>
      <c r="L524" s="4">
        <f>IF(TRIM(Raw_Data!L524)="","No Coupon",TRIM(Raw_Data!L524))</f>
        <v/>
      </c>
      <c r="M524" s="4">
        <f>PROPER(TRIM(Raw_Data!M524))</f>
        <v/>
      </c>
      <c r="N524" s="6">
        <f>ROUND(Raw_Data!N524,2)</f>
        <v/>
      </c>
      <c r="O524" s="7">
        <f>IF(COUNTIF($A$2:$A$1201,A524)&gt;1,"DUPLICATE","Unique")</f>
        <v/>
      </c>
      <c r="P524" s="7">
        <f>IF(COUNTIF($J$2:$J$1201,J524)&gt;1,"DUPLICATE","Unique")</f>
        <v/>
      </c>
      <c r="Q524" s="4">
        <f>IF(TRIM(Raw_Data!L524)="","Yes","No")</f>
        <v/>
      </c>
      <c r="R524" s="4">
        <f>IF(ISNUMBER(B524),"Valid","INVALID")</f>
        <v/>
      </c>
    </row>
    <row r="525">
      <c r="A525" s="4">
        <f>TRIM(Raw_Data!A525)</f>
        <v/>
      </c>
      <c r="B525" s="5">
        <f>Raw_Data!B525</f>
        <v/>
      </c>
      <c r="C525" s="4">
        <f>TRIM(Raw_Data!C525)</f>
        <v/>
      </c>
      <c r="D525" s="4">
        <f>PROPER(TRIM(Raw_Data!D525))</f>
        <v/>
      </c>
      <c r="E525" s="4">
        <f>Raw_Data!E525</f>
        <v/>
      </c>
      <c r="F525" s="6">
        <f>ROUND(Raw_Data!F525,2)</f>
        <v/>
      </c>
      <c r="G525" s="4">
        <f>PROPER(TRIM(Raw_Data!G525))</f>
        <v/>
      </c>
      <c r="H525" s="4">
        <f>PROPER(TRIM(Raw_Data!H525))</f>
        <v/>
      </c>
      <c r="I525" s="4">
        <f>PROPER(TRIM(Raw_Data!I525))</f>
        <v/>
      </c>
      <c r="J525" s="4">
        <f>TRIM(Raw_Data!J525)</f>
        <v/>
      </c>
      <c r="K525" s="4">
        <f>Raw_Data!K525</f>
        <v/>
      </c>
      <c r="L525" s="4">
        <f>IF(TRIM(Raw_Data!L525)="","No Coupon",TRIM(Raw_Data!L525))</f>
        <v/>
      </c>
      <c r="M525" s="4">
        <f>PROPER(TRIM(Raw_Data!M525))</f>
        <v/>
      </c>
      <c r="N525" s="6">
        <f>ROUND(Raw_Data!N525,2)</f>
        <v/>
      </c>
      <c r="O525" s="7">
        <f>IF(COUNTIF($A$2:$A$1201,A525)&gt;1,"DUPLICATE","Unique")</f>
        <v/>
      </c>
      <c r="P525" s="7">
        <f>IF(COUNTIF($J$2:$J$1201,J525)&gt;1,"DUPLICATE","Unique")</f>
        <v/>
      </c>
      <c r="Q525" s="4">
        <f>IF(TRIM(Raw_Data!L525)="","Yes","No")</f>
        <v/>
      </c>
      <c r="R525" s="4">
        <f>IF(ISNUMBER(B525),"Valid","INVALID")</f>
        <v/>
      </c>
    </row>
    <row r="526">
      <c r="A526" s="4">
        <f>TRIM(Raw_Data!A526)</f>
        <v/>
      </c>
      <c r="B526" s="5">
        <f>Raw_Data!B526</f>
        <v/>
      </c>
      <c r="C526" s="4">
        <f>TRIM(Raw_Data!C526)</f>
        <v/>
      </c>
      <c r="D526" s="4">
        <f>PROPER(TRIM(Raw_Data!D526))</f>
        <v/>
      </c>
      <c r="E526" s="4">
        <f>Raw_Data!E526</f>
        <v/>
      </c>
      <c r="F526" s="6">
        <f>ROUND(Raw_Data!F526,2)</f>
        <v/>
      </c>
      <c r="G526" s="4">
        <f>PROPER(TRIM(Raw_Data!G526))</f>
        <v/>
      </c>
      <c r="H526" s="4">
        <f>PROPER(TRIM(Raw_Data!H526))</f>
        <v/>
      </c>
      <c r="I526" s="4">
        <f>PROPER(TRIM(Raw_Data!I526))</f>
        <v/>
      </c>
      <c r="J526" s="4">
        <f>TRIM(Raw_Data!J526)</f>
        <v/>
      </c>
      <c r="K526" s="4">
        <f>Raw_Data!K526</f>
        <v/>
      </c>
      <c r="L526" s="4">
        <f>IF(TRIM(Raw_Data!L526)="","No Coupon",TRIM(Raw_Data!L526))</f>
        <v/>
      </c>
      <c r="M526" s="4">
        <f>PROPER(TRIM(Raw_Data!M526))</f>
        <v/>
      </c>
      <c r="N526" s="6">
        <f>ROUND(Raw_Data!N526,2)</f>
        <v/>
      </c>
      <c r="O526" s="7">
        <f>IF(COUNTIF($A$2:$A$1201,A526)&gt;1,"DUPLICATE","Unique")</f>
        <v/>
      </c>
      <c r="P526" s="7">
        <f>IF(COUNTIF($J$2:$J$1201,J526)&gt;1,"DUPLICATE","Unique")</f>
        <v/>
      </c>
      <c r="Q526" s="4">
        <f>IF(TRIM(Raw_Data!L526)="","Yes","No")</f>
        <v/>
      </c>
      <c r="R526" s="4">
        <f>IF(ISNUMBER(B526),"Valid","INVALID")</f>
        <v/>
      </c>
    </row>
    <row r="527">
      <c r="A527" s="4">
        <f>TRIM(Raw_Data!A527)</f>
        <v/>
      </c>
      <c r="B527" s="5">
        <f>Raw_Data!B527</f>
        <v/>
      </c>
      <c r="C527" s="4">
        <f>TRIM(Raw_Data!C527)</f>
        <v/>
      </c>
      <c r="D527" s="4">
        <f>PROPER(TRIM(Raw_Data!D527))</f>
        <v/>
      </c>
      <c r="E527" s="4">
        <f>Raw_Data!E527</f>
        <v/>
      </c>
      <c r="F527" s="6">
        <f>ROUND(Raw_Data!F527,2)</f>
        <v/>
      </c>
      <c r="G527" s="4">
        <f>PROPER(TRIM(Raw_Data!G527))</f>
        <v/>
      </c>
      <c r="H527" s="4">
        <f>PROPER(TRIM(Raw_Data!H527))</f>
        <v/>
      </c>
      <c r="I527" s="4">
        <f>PROPER(TRIM(Raw_Data!I527))</f>
        <v/>
      </c>
      <c r="J527" s="4">
        <f>TRIM(Raw_Data!J527)</f>
        <v/>
      </c>
      <c r="K527" s="4">
        <f>Raw_Data!K527</f>
        <v/>
      </c>
      <c r="L527" s="4">
        <f>IF(TRIM(Raw_Data!L527)="","No Coupon",TRIM(Raw_Data!L527))</f>
        <v/>
      </c>
      <c r="M527" s="4">
        <f>PROPER(TRIM(Raw_Data!M527))</f>
        <v/>
      </c>
      <c r="N527" s="6">
        <f>ROUND(Raw_Data!N527,2)</f>
        <v/>
      </c>
      <c r="O527" s="7">
        <f>IF(COUNTIF($A$2:$A$1201,A527)&gt;1,"DUPLICATE","Unique")</f>
        <v/>
      </c>
      <c r="P527" s="7">
        <f>IF(COUNTIF($J$2:$J$1201,J527)&gt;1,"DUPLICATE","Unique")</f>
        <v/>
      </c>
      <c r="Q527" s="4">
        <f>IF(TRIM(Raw_Data!L527)="","Yes","No")</f>
        <v/>
      </c>
      <c r="R527" s="4">
        <f>IF(ISNUMBER(B527),"Valid","INVALID")</f>
        <v/>
      </c>
    </row>
    <row r="528">
      <c r="A528" s="4">
        <f>TRIM(Raw_Data!A528)</f>
        <v/>
      </c>
      <c r="B528" s="5">
        <f>Raw_Data!B528</f>
        <v/>
      </c>
      <c r="C528" s="4">
        <f>TRIM(Raw_Data!C528)</f>
        <v/>
      </c>
      <c r="D528" s="4">
        <f>PROPER(TRIM(Raw_Data!D528))</f>
        <v/>
      </c>
      <c r="E528" s="4">
        <f>Raw_Data!E528</f>
        <v/>
      </c>
      <c r="F528" s="6">
        <f>ROUND(Raw_Data!F528,2)</f>
        <v/>
      </c>
      <c r="G528" s="4">
        <f>PROPER(TRIM(Raw_Data!G528))</f>
        <v/>
      </c>
      <c r="H528" s="4">
        <f>PROPER(TRIM(Raw_Data!H528))</f>
        <v/>
      </c>
      <c r="I528" s="4">
        <f>PROPER(TRIM(Raw_Data!I528))</f>
        <v/>
      </c>
      <c r="J528" s="4">
        <f>TRIM(Raw_Data!J528)</f>
        <v/>
      </c>
      <c r="K528" s="4">
        <f>Raw_Data!K528</f>
        <v/>
      </c>
      <c r="L528" s="4">
        <f>IF(TRIM(Raw_Data!L528)="","No Coupon",TRIM(Raw_Data!L528))</f>
        <v/>
      </c>
      <c r="M528" s="4">
        <f>PROPER(TRIM(Raw_Data!M528))</f>
        <v/>
      </c>
      <c r="N528" s="6">
        <f>ROUND(Raw_Data!N528,2)</f>
        <v/>
      </c>
      <c r="O528" s="7">
        <f>IF(COUNTIF($A$2:$A$1201,A528)&gt;1,"DUPLICATE","Unique")</f>
        <v/>
      </c>
      <c r="P528" s="7">
        <f>IF(COUNTIF($J$2:$J$1201,J528)&gt;1,"DUPLICATE","Unique")</f>
        <v/>
      </c>
      <c r="Q528" s="4">
        <f>IF(TRIM(Raw_Data!L528)="","Yes","No")</f>
        <v/>
      </c>
      <c r="R528" s="4">
        <f>IF(ISNUMBER(B528),"Valid","INVALID")</f>
        <v/>
      </c>
    </row>
    <row r="529">
      <c r="A529" s="4">
        <f>TRIM(Raw_Data!A529)</f>
        <v/>
      </c>
      <c r="B529" s="5">
        <f>Raw_Data!B529</f>
        <v/>
      </c>
      <c r="C529" s="4">
        <f>TRIM(Raw_Data!C529)</f>
        <v/>
      </c>
      <c r="D529" s="4">
        <f>PROPER(TRIM(Raw_Data!D529))</f>
        <v/>
      </c>
      <c r="E529" s="4">
        <f>Raw_Data!E529</f>
        <v/>
      </c>
      <c r="F529" s="6">
        <f>ROUND(Raw_Data!F529,2)</f>
        <v/>
      </c>
      <c r="G529" s="4">
        <f>PROPER(TRIM(Raw_Data!G529))</f>
        <v/>
      </c>
      <c r="H529" s="4">
        <f>PROPER(TRIM(Raw_Data!H529))</f>
        <v/>
      </c>
      <c r="I529" s="4">
        <f>PROPER(TRIM(Raw_Data!I529))</f>
        <v/>
      </c>
      <c r="J529" s="4">
        <f>TRIM(Raw_Data!J529)</f>
        <v/>
      </c>
      <c r="K529" s="4">
        <f>Raw_Data!K529</f>
        <v/>
      </c>
      <c r="L529" s="4">
        <f>IF(TRIM(Raw_Data!L529)="","No Coupon",TRIM(Raw_Data!L529))</f>
        <v/>
      </c>
      <c r="M529" s="4">
        <f>PROPER(TRIM(Raw_Data!M529))</f>
        <v/>
      </c>
      <c r="N529" s="6">
        <f>ROUND(Raw_Data!N529,2)</f>
        <v/>
      </c>
      <c r="O529" s="7">
        <f>IF(COUNTIF($A$2:$A$1201,A529)&gt;1,"DUPLICATE","Unique")</f>
        <v/>
      </c>
      <c r="P529" s="7">
        <f>IF(COUNTIF($J$2:$J$1201,J529)&gt;1,"DUPLICATE","Unique")</f>
        <v/>
      </c>
      <c r="Q529" s="4">
        <f>IF(TRIM(Raw_Data!L529)="","Yes","No")</f>
        <v/>
      </c>
      <c r="R529" s="4">
        <f>IF(ISNUMBER(B529),"Valid","INVALID")</f>
        <v/>
      </c>
    </row>
    <row r="530">
      <c r="A530" s="4">
        <f>TRIM(Raw_Data!A530)</f>
        <v/>
      </c>
      <c r="B530" s="5">
        <f>Raw_Data!B530</f>
        <v/>
      </c>
      <c r="C530" s="4">
        <f>TRIM(Raw_Data!C530)</f>
        <v/>
      </c>
      <c r="D530" s="4">
        <f>PROPER(TRIM(Raw_Data!D530))</f>
        <v/>
      </c>
      <c r="E530" s="4">
        <f>Raw_Data!E530</f>
        <v/>
      </c>
      <c r="F530" s="6">
        <f>ROUND(Raw_Data!F530,2)</f>
        <v/>
      </c>
      <c r="G530" s="4">
        <f>PROPER(TRIM(Raw_Data!G530))</f>
        <v/>
      </c>
      <c r="H530" s="4">
        <f>PROPER(TRIM(Raw_Data!H530))</f>
        <v/>
      </c>
      <c r="I530" s="4">
        <f>PROPER(TRIM(Raw_Data!I530))</f>
        <v/>
      </c>
      <c r="J530" s="4">
        <f>TRIM(Raw_Data!J530)</f>
        <v/>
      </c>
      <c r="K530" s="4">
        <f>Raw_Data!K530</f>
        <v/>
      </c>
      <c r="L530" s="4">
        <f>IF(TRIM(Raw_Data!L530)="","No Coupon",TRIM(Raw_Data!L530))</f>
        <v/>
      </c>
      <c r="M530" s="4">
        <f>PROPER(TRIM(Raw_Data!M530))</f>
        <v/>
      </c>
      <c r="N530" s="6">
        <f>ROUND(Raw_Data!N530,2)</f>
        <v/>
      </c>
      <c r="O530" s="7">
        <f>IF(COUNTIF($A$2:$A$1201,A530)&gt;1,"DUPLICATE","Unique")</f>
        <v/>
      </c>
      <c r="P530" s="7">
        <f>IF(COUNTIF($J$2:$J$1201,J530)&gt;1,"DUPLICATE","Unique")</f>
        <v/>
      </c>
      <c r="Q530" s="4">
        <f>IF(TRIM(Raw_Data!L530)="","Yes","No")</f>
        <v/>
      </c>
      <c r="R530" s="4">
        <f>IF(ISNUMBER(B530),"Valid","INVALID")</f>
        <v/>
      </c>
    </row>
    <row r="531">
      <c r="A531" s="4">
        <f>TRIM(Raw_Data!A531)</f>
        <v/>
      </c>
      <c r="B531" s="5">
        <f>Raw_Data!B531</f>
        <v/>
      </c>
      <c r="C531" s="4">
        <f>TRIM(Raw_Data!C531)</f>
        <v/>
      </c>
      <c r="D531" s="4">
        <f>PROPER(TRIM(Raw_Data!D531))</f>
        <v/>
      </c>
      <c r="E531" s="4">
        <f>Raw_Data!E531</f>
        <v/>
      </c>
      <c r="F531" s="6">
        <f>ROUND(Raw_Data!F531,2)</f>
        <v/>
      </c>
      <c r="G531" s="4">
        <f>PROPER(TRIM(Raw_Data!G531))</f>
        <v/>
      </c>
      <c r="H531" s="4">
        <f>PROPER(TRIM(Raw_Data!H531))</f>
        <v/>
      </c>
      <c r="I531" s="4">
        <f>PROPER(TRIM(Raw_Data!I531))</f>
        <v/>
      </c>
      <c r="J531" s="4">
        <f>TRIM(Raw_Data!J531)</f>
        <v/>
      </c>
      <c r="K531" s="4">
        <f>Raw_Data!K531</f>
        <v/>
      </c>
      <c r="L531" s="4">
        <f>IF(TRIM(Raw_Data!L531)="","No Coupon",TRIM(Raw_Data!L531))</f>
        <v/>
      </c>
      <c r="M531" s="4">
        <f>PROPER(TRIM(Raw_Data!M531))</f>
        <v/>
      </c>
      <c r="N531" s="6">
        <f>ROUND(Raw_Data!N531,2)</f>
        <v/>
      </c>
      <c r="O531" s="7">
        <f>IF(COUNTIF($A$2:$A$1201,A531)&gt;1,"DUPLICATE","Unique")</f>
        <v/>
      </c>
      <c r="P531" s="7">
        <f>IF(COUNTIF($J$2:$J$1201,J531)&gt;1,"DUPLICATE","Unique")</f>
        <v/>
      </c>
      <c r="Q531" s="4">
        <f>IF(TRIM(Raw_Data!L531)="","Yes","No")</f>
        <v/>
      </c>
      <c r="R531" s="4">
        <f>IF(ISNUMBER(B531),"Valid","INVALID")</f>
        <v/>
      </c>
    </row>
    <row r="532">
      <c r="A532" s="4">
        <f>TRIM(Raw_Data!A532)</f>
        <v/>
      </c>
      <c r="B532" s="5">
        <f>Raw_Data!B532</f>
        <v/>
      </c>
      <c r="C532" s="4">
        <f>TRIM(Raw_Data!C532)</f>
        <v/>
      </c>
      <c r="D532" s="4">
        <f>PROPER(TRIM(Raw_Data!D532))</f>
        <v/>
      </c>
      <c r="E532" s="4">
        <f>Raw_Data!E532</f>
        <v/>
      </c>
      <c r="F532" s="6">
        <f>ROUND(Raw_Data!F532,2)</f>
        <v/>
      </c>
      <c r="G532" s="4">
        <f>PROPER(TRIM(Raw_Data!G532))</f>
        <v/>
      </c>
      <c r="H532" s="4">
        <f>PROPER(TRIM(Raw_Data!H532))</f>
        <v/>
      </c>
      <c r="I532" s="4">
        <f>PROPER(TRIM(Raw_Data!I532))</f>
        <v/>
      </c>
      <c r="J532" s="4">
        <f>TRIM(Raw_Data!J532)</f>
        <v/>
      </c>
      <c r="K532" s="4">
        <f>Raw_Data!K532</f>
        <v/>
      </c>
      <c r="L532" s="4">
        <f>IF(TRIM(Raw_Data!L532)="","No Coupon",TRIM(Raw_Data!L532))</f>
        <v/>
      </c>
      <c r="M532" s="4">
        <f>PROPER(TRIM(Raw_Data!M532))</f>
        <v/>
      </c>
      <c r="N532" s="6">
        <f>ROUND(Raw_Data!N532,2)</f>
        <v/>
      </c>
      <c r="O532" s="7">
        <f>IF(COUNTIF($A$2:$A$1201,A532)&gt;1,"DUPLICATE","Unique")</f>
        <v/>
      </c>
      <c r="P532" s="7">
        <f>IF(COUNTIF($J$2:$J$1201,J532)&gt;1,"DUPLICATE","Unique")</f>
        <v/>
      </c>
      <c r="Q532" s="4">
        <f>IF(TRIM(Raw_Data!L532)="","Yes","No")</f>
        <v/>
      </c>
      <c r="R532" s="4">
        <f>IF(ISNUMBER(B532),"Valid","INVALID")</f>
        <v/>
      </c>
    </row>
    <row r="533">
      <c r="A533" s="4">
        <f>TRIM(Raw_Data!A533)</f>
        <v/>
      </c>
      <c r="B533" s="5">
        <f>Raw_Data!B533</f>
        <v/>
      </c>
      <c r="C533" s="4">
        <f>TRIM(Raw_Data!C533)</f>
        <v/>
      </c>
      <c r="D533" s="4">
        <f>PROPER(TRIM(Raw_Data!D533))</f>
        <v/>
      </c>
      <c r="E533" s="4">
        <f>Raw_Data!E533</f>
        <v/>
      </c>
      <c r="F533" s="6">
        <f>ROUND(Raw_Data!F533,2)</f>
        <v/>
      </c>
      <c r="G533" s="4">
        <f>PROPER(TRIM(Raw_Data!G533))</f>
        <v/>
      </c>
      <c r="H533" s="4">
        <f>PROPER(TRIM(Raw_Data!H533))</f>
        <v/>
      </c>
      <c r="I533" s="4">
        <f>PROPER(TRIM(Raw_Data!I533))</f>
        <v/>
      </c>
      <c r="J533" s="4">
        <f>TRIM(Raw_Data!J533)</f>
        <v/>
      </c>
      <c r="K533" s="4">
        <f>Raw_Data!K533</f>
        <v/>
      </c>
      <c r="L533" s="4">
        <f>IF(TRIM(Raw_Data!L533)="","No Coupon",TRIM(Raw_Data!L533))</f>
        <v/>
      </c>
      <c r="M533" s="4">
        <f>PROPER(TRIM(Raw_Data!M533))</f>
        <v/>
      </c>
      <c r="N533" s="6">
        <f>ROUND(Raw_Data!N533,2)</f>
        <v/>
      </c>
      <c r="O533" s="7">
        <f>IF(COUNTIF($A$2:$A$1201,A533)&gt;1,"DUPLICATE","Unique")</f>
        <v/>
      </c>
      <c r="P533" s="7">
        <f>IF(COUNTIF($J$2:$J$1201,J533)&gt;1,"DUPLICATE","Unique")</f>
        <v/>
      </c>
      <c r="Q533" s="4">
        <f>IF(TRIM(Raw_Data!L533)="","Yes","No")</f>
        <v/>
      </c>
      <c r="R533" s="4">
        <f>IF(ISNUMBER(B533),"Valid","INVALID")</f>
        <v/>
      </c>
    </row>
    <row r="534">
      <c r="A534" s="4">
        <f>TRIM(Raw_Data!A534)</f>
        <v/>
      </c>
      <c r="B534" s="5">
        <f>Raw_Data!B534</f>
        <v/>
      </c>
      <c r="C534" s="4">
        <f>TRIM(Raw_Data!C534)</f>
        <v/>
      </c>
      <c r="D534" s="4">
        <f>PROPER(TRIM(Raw_Data!D534))</f>
        <v/>
      </c>
      <c r="E534" s="4">
        <f>Raw_Data!E534</f>
        <v/>
      </c>
      <c r="F534" s="6">
        <f>ROUND(Raw_Data!F534,2)</f>
        <v/>
      </c>
      <c r="G534" s="4">
        <f>PROPER(TRIM(Raw_Data!G534))</f>
        <v/>
      </c>
      <c r="H534" s="4">
        <f>PROPER(TRIM(Raw_Data!H534))</f>
        <v/>
      </c>
      <c r="I534" s="4">
        <f>PROPER(TRIM(Raw_Data!I534))</f>
        <v/>
      </c>
      <c r="J534" s="4">
        <f>TRIM(Raw_Data!J534)</f>
        <v/>
      </c>
      <c r="K534" s="4">
        <f>Raw_Data!K534</f>
        <v/>
      </c>
      <c r="L534" s="4">
        <f>IF(TRIM(Raw_Data!L534)="","No Coupon",TRIM(Raw_Data!L534))</f>
        <v/>
      </c>
      <c r="M534" s="4">
        <f>PROPER(TRIM(Raw_Data!M534))</f>
        <v/>
      </c>
      <c r="N534" s="6">
        <f>ROUND(Raw_Data!N534,2)</f>
        <v/>
      </c>
      <c r="O534" s="7">
        <f>IF(COUNTIF($A$2:$A$1201,A534)&gt;1,"DUPLICATE","Unique")</f>
        <v/>
      </c>
      <c r="P534" s="7">
        <f>IF(COUNTIF($J$2:$J$1201,J534)&gt;1,"DUPLICATE","Unique")</f>
        <v/>
      </c>
      <c r="Q534" s="4">
        <f>IF(TRIM(Raw_Data!L534)="","Yes","No")</f>
        <v/>
      </c>
      <c r="R534" s="4">
        <f>IF(ISNUMBER(B534),"Valid","INVALID")</f>
        <v/>
      </c>
    </row>
    <row r="535">
      <c r="A535" s="4">
        <f>TRIM(Raw_Data!A535)</f>
        <v/>
      </c>
      <c r="B535" s="5">
        <f>Raw_Data!B535</f>
        <v/>
      </c>
      <c r="C535" s="4">
        <f>TRIM(Raw_Data!C535)</f>
        <v/>
      </c>
      <c r="D535" s="4">
        <f>PROPER(TRIM(Raw_Data!D535))</f>
        <v/>
      </c>
      <c r="E535" s="4">
        <f>Raw_Data!E535</f>
        <v/>
      </c>
      <c r="F535" s="6">
        <f>ROUND(Raw_Data!F535,2)</f>
        <v/>
      </c>
      <c r="G535" s="4">
        <f>PROPER(TRIM(Raw_Data!G535))</f>
        <v/>
      </c>
      <c r="H535" s="4">
        <f>PROPER(TRIM(Raw_Data!H535))</f>
        <v/>
      </c>
      <c r="I535" s="4">
        <f>PROPER(TRIM(Raw_Data!I535))</f>
        <v/>
      </c>
      <c r="J535" s="4">
        <f>TRIM(Raw_Data!J535)</f>
        <v/>
      </c>
      <c r="K535" s="4">
        <f>Raw_Data!K535</f>
        <v/>
      </c>
      <c r="L535" s="4">
        <f>IF(TRIM(Raw_Data!L535)="","No Coupon",TRIM(Raw_Data!L535))</f>
        <v/>
      </c>
      <c r="M535" s="4">
        <f>PROPER(TRIM(Raw_Data!M535))</f>
        <v/>
      </c>
      <c r="N535" s="6">
        <f>ROUND(Raw_Data!N535,2)</f>
        <v/>
      </c>
      <c r="O535" s="7">
        <f>IF(COUNTIF($A$2:$A$1201,A535)&gt;1,"DUPLICATE","Unique")</f>
        <v/>
      </c>
      <c r="P535" s="7">
        <f>IF(COUNTIF($J$2:$J$1201,J535)&gt;1,"DUPLICATE","Unique")</f>
        <v/>
      </c>
      <c r="Q535" s="4">
        <f>IF(TRIM(Raw_Data!L535)="","Yes","No")</f>
        <v/>
      </c>
      <c r="R535" s="4">
        <f>IF(ISNUMBER(B535),"Valid","INVALID")</f>
        <v/>
      </c>
    </row>
    <row r="536">
      <c r="A536" s="4">
        <f>TRIM(Raw_Data!A536)</f>
        <v/>
      </c>
      <c r="B536" s="5">
        <f>Raw_Data!B536</f>
        <v/>
      </c>
      <c r="C536" s="4">
        <f>TRIM(Raw_Data!C536)</f>
        <v/>
      </c>
      <c r="D536" s="4">
        <f>PROPER(TRIM(Raw_Data!D536))</f>
        <v/>
      </c>
      <c r="E536" s="4">
        <f>Raw_Data!E536</f>
        <v/>
      </c>
      <c r="F536" s="6">
        <f>ROUND(Raw_Data!F536,2)</f>
        <v/>
      </c>
      <c r="G536" s="4">
        <f>PROPER(TRIM(Raw_Data!G536))</f>
        <v/>
      </c>
      <c r="H536" s="4">
        <f>PROPER(TRIM(Raw_Data!H536))</f>
        <v/>
      </c>
      <c r="I536" s="4">
        <f>PROPER(TRIM(Raw_Data!I536))</f>
        <v/>
      </c>
      <c r="J536" s="4">
        <f>TRIM(Raw_Data!J536)</f>
        <v/>
      </c>
      <c r="K536" s="4">
        <f>Raw_Data!K536</f>
        <v/>
      </c>
      <c r="L536" s="4">
        <f>IF(TRIM(Raw_Data!L536)="","No Coupon",TRIM(Raw_Data!L536))</f>
        <v/>
      </c>
      <c r="M536" s="4">
        <f>PROPER(TRIM(Raw_Data!M536))</f>
        <v/>
      </c>
      <c r="N536" s="6">
        <f>ROUND(Raw_Data!N536,2)</f>
        <v/>
      </c>
      <c r="O536" s="7">
        <f>IF(COUNTIF($A$2:$A$1201,A536)&gt;1,"DUPLICATE","Unique")</f>
        <v/>
      </c>
      <c r="P536" s="7">
        <f>IF(COUNTIF($J$2:$J$1201,J536)&gt;1,"DUPLICATE","Unique")</f>
        <v/>
      </c>
      <c r="Q536" s="4">
        <f>IF(TRIM(Raw_Data!L536)="","Yes","No")</f>
        <v/>
      </c>
      <c r="R536" s="4">
        <f>IF(ISNUMBER(B536),"Valid","INVALID")</f>
        <v/>
      </c>
    </row>
    <row r="537">
      <c r="A537" s="4">
        <f>TRIM(Raw_Data!A537)</f>
        <v/>
      </c>
      <c r="B537" s="5">
        <f>Raw_Data!B537</f>
        <v/>
      </c>
      <c r="C537" s="4">
        <f>TRIM(Raw_Data!C537)</f>
        <v/>
      </c>
      <c r="D537" s="4">
        <f>PROPER(TRIM(Raw_Data!D537))</f>
        <v/>
      </c>
      <c r="E537" s="4">
        <f>Raw_Data!E537</f>
        <v/>
      </c>
      <c r="F537" s="6">
        <f>ROUND(Raw_Data!F537,2)</f>
        <v/>
      </c>
      <c r="G537" s="4">
        <f>PROPER(TRIM(Raw_Data!G537))</f>
        <v/>
      </c>
      <c r="H537" s="4">
        <f>PROPER(TRIM(Raw_Data!H537))</f>
        <v/>
      </c>
      <c r="I537" s="4">
        <f>PROPER(TRIM(Raw_Data!I537))</f>
        <v/>
      </c>
      <c r="J537" s="4">
        <f>TRIM(Raw_Data!J537)</f>
        <v/>
      </c>
      <c r="K537" s="4">
        <f>Raw_Data!K537</f>
        <v/>
      </c>
      <c r="L537" s="4">
        <f>IF(TRIM(Raw_Data!L537)="","No Coupon",TRIM(Raw_Data!L537))</f>
        <v/>
      </c>
      <c r="M537" s="4">
        <f>PROPER(TRIM(Raw_Data!M537))</f>
        <v/>
      </c>
      <c r="N537" s="6">
        <f>ROUND(Raw_Data!N537,2)</f>
        <v/>
      </c>
      <c r="O537" s="7">
        <f>IF(COUNTIF($A$2:$A$1201,A537)&gt;1,"DUPLICATE","Unique")</f>
        <v/>
      </c>
      <c r="P537" s="7">
        <f>IF(COUNTIF($J$2:$J$1201,J537)&gt;1,"DUPLICATE","Unique")</f>
        <v/>
      </c>
      <c r="Q537" s="4">
        <f>IF(TRIM(Raw_Data!L537)="","Yes","No")</f>
        <v/>
      </c>
      <c r="R537" s="4">
        <f>IF(ISNUMBER(B537),"Valid","INVALID")</f>
        <v/>
      </c>
    </row>
    <row r="538">
      <c r="A538" s="4">
        <f>TRIM(Raw_Data!A538)</f>
        <v/>
      </c>
      <c r="B538" s="5">
        <f>Raw_Data!B538</f>
        <v/>
      </c>
      <c r="C538" s="4">
        <f>TRIM(Raw_Data!C538)</f>
        <v/>
      </c>
      <c r="D538" s="4">
        <f>PROPER(TRIM(Raw_Data!D538))</f>
        <v/>
      </c>
      <c r="E538" s="4">
        <f>Raw_Data!E538</f>
        <v/>
      </c>
      <c r="F538" s="6">
        <f>ROUND(Raw_Data!F538,2)</f>
        <v/>
      </c>
      <c r="G538" s="4">
        <f>PROPER(TRIM(Raw_Data!G538))</f>
        <v/>
      </c>
      <c r="H538" s="4">
        <f>PROPER(TRIM(Raw_Data!H538))</f>
        <v/>
      </c>
      <c r="I538" s="4">
        <f>PROPER(TRIM(Raw_Data!I538))</f>
        <v/>
      </c>
      <c r="J538" s="4">
        <f>TRIM(Raw_Data!J538)</f>
        <v/>
      </c>
      <c r="K538" s="4">
        <f>Raw_Data!K538</f>
        <v/>
      </c>
      <c r="L538" s="4">
        <f>IF(TRIM(Raw_Data!L538)="","No Coupon",TRIM(Raw_Data!L538))</f>
        <v/>
      </c>
      <c r="M538" s="4">
        <f>PROPER(TRIM(Raw_Data!M538))</f>
        <v/>
      </c>
      <c r="N538" s="6">
        <f>ROUND(Raw_Data!N538,2)</f>
        <v/>
      </c>
      <c r="O538" s="7">
        <f>IF(COUNTIF($A$2:$A$1201,A538)&gt;1,"DUPLICATE","Unique")</f>
        <v/>
      </c>
      <c r="P538" s="7">
        <f>IF(COUNTIF($J$2:$J$1201,J538)&gt;1,"DUPLICATE","Unique")</f>
        <v/>
      </c>
      <c r="Q538" s="4">
        <f>IF(TRIM(Raw_Data!L538)="","Yes","No")</f>
        <v/>
      </c>
      <c r="R538" s="4">
        <f>IF(ISNUMBER(B538),"Valid","INVALID")</f>
        <v/>
      </c>
    </row>
    <row r="539">
      <c r="A539" s="4">
        <f>TRIM(Raw_Data!A539)</f>
        <v/>
      </c>
      <c r="B539" s="5">
        <f>Raw_Data!B539</f>
        <v/>
      </c>
      <c r="C539" s="4">
        <f>TRIM(Raw_Data!C539)</f>
        <v/>
      </c>
      <c r="D539" s="4">
        <f>PROPER(TRIM(Raw_Data!D539))</f>
        <v/>
      </c>
      <c r="E539" s="4">
        <f>Raw_Data!E539</f>
        <v/>
      </c>
      <c r="F539" s="6">
        <f>ROUND(Raw_Data!F539,2)</f>
        <v/>
      </c>
      <c r="G539" s="4">
        <f>PROPER(TRIM(Raw_Data!G539))</f>
        <v/>
      </c>
      <c r="H539" s="4">
        <f>PROPER(TRIM(Raw_Data!H539))</f>
        <v/>
      </c>
      <c r="I539" s="4">
        <f>PROPER(TRIM(Raw_Data!I539))</f>
        <v/>
      </c>
      <c r="J539" s="4">
        <f>TRIM(Raw_Data!J539)</f>
        <v/>
      </c>
      <c r="K539" s="4">
        <f>Raw_Data!K539</f>
        <v/>
      </c>
      <c r="L539" s="4">
        <f>IF(TRIM(Raw_Data!L539)="","No Coupon",TRIM(Raw_Data!L539))</f>
        <v/>
      </c>
      <c r="M539" s="4">
        <f>PROPER(TRIM(Raw_Data!M539))</f>
        <v/>
      </c>
      <c r="N539" s="6">
        <f>ROUND(Raw_Data!N539,2)</f>
        <v/>
      </c>
      <c r="O539" s="7">
        <f>IF(COUNTIF($A$2:$A$1201,A539)&gt;1,"DUPLICATE","Unique")</f>
        <v/>
      </c>
      <c r="P539" s="7">
        <f>IF(COUNTIF($J$2:$J$1201,J539)&gt;1,"DUPLICATE","Unique")</f>
        <v/>
      </c>
      <c r="Q539" s="4">
        <f>IF(TRIM(Raw_Data!L539)="","Yes","No")</f>
        <v/>
      </c>
      <c r="R539" s="4">
        <f>IF(ISNUMBER(B539),"Valid","INVALID")</f>
        <v/>
      </c>
    </row>
    <row r="540">
      <c r="A540" s="4">
        <f>TRIM(Raw_Data!A540)</f>
        <v/>
      </c>
      <c r="B540" s="5">
        <f>Raw_Data!B540</f>
        <v/>
      </c>
      <c r="C540" s="4">
        <f>TRIM(Raw_Data!C540)</f>
        <v/>
      </c>
      <c r="D540" s="4">
        <f>PROPER(TRIM(Raw_Data!D540))</f>
        <v/>
      </c>
      <c r="E540" s="4">
        <f>Raw_Data!E540</f>
        <v/>
      </c>
      <c r="F540" s="6">
        <f>ROUND(Raw_Data!F540,2)</f>
        <v/>
      </c>
      <c r="G540" s="4">
        <f>PROPER(TRIM(Raw_Data!G540))</f>
        <v/>
      </c>
      <c r="H540" s="4">
        <f>PROPER(TRIM(Raw_Data!H540))</f>
        <v/>
      </c>
      <c r="I540" s="4">
        <f>PROPER(TRIM(Raw_Data!I540))</f>
        <v/>
      </c>
      <c r="J540" s="4">
        <f>TRIM(Raw_Data!J540)</f>
        <v/>
      </c>
      <c r="K540" s="4">
        <f>Raw_Data!K540</f>
        <v/>
      </c>
      <c r="L540" s="4">
        <f>IF(TRIM(Raw_Data!L540)="","No Coupon",TRIM(Raw_Data!L540))</f>
        <v/>
      </c>
      <c r="M540" s="4">
        <f>PROPER(TRIM(Raw_Data!M540))</f>
        <v/>
      </c>
      <c r="N540" s="6">
        <f>ROUND(Raw_Data!N540,2)</f>
        <v/>
      </c>
      <c r="O540" s="7">
        <f>IF(COUNTIF($A$2:$A$1201,A540)&gt;1,"DUPLICATE","Unique")</f>
        <v/>
      </c>
      <c r="P540" s="7">
        <f>IF(COUNTIF($J$2:$J$1201,J540)&gt;1,"DUPLICATE","Unique")</f>
        <v/>
      </c>
      <c r="Q540" s="4">
        <f>IF(TRIM(Raw_Data!L540)="","Yes","No")</f>
        <v/>
      </c>
      <c r="R540" s="4">
        <f>IF(ISNUMBER(B540),"Valid","INVALID")</f>
        <v/>
      </c>
    </row>
    <row r="541">
      <c r="A541" s="4">
        <f>TRIM(Raw_Data!A541)</f>
        <v/>
      </c>
      <c r="B541" s="5">
        <f>Raw_Data!B541</f>
        <v/>
      </c>
      <c r="C541" s="4">
        <f>TRIM(Raw_Data!C541)</f>
        <v/>
      </c>
      <c r="D541" s="4">
        <f>PROPER(TRIM(Raw_Data!D541))</f>
        <v/>
      </c>
      <c r="E541" s="4">
        <f>Raw_Data!E541</f>
        <v/>
      </c>
      <c r="F541" s="6">
        <f>ROUND(Raw_Data!F541,2)</f>
        <v/>
      </c>
      <c r="G541" s="4">
        <f>PROPER(TRIM(Raw_Data!G541))</f>
        <v/>
      </c>
      <c r="H541" s="4">
        <f>PROPER(TRIM(Raw_Data!H541))</f>
        <v/>
      </c>
      <c r="I541" s="4">
        <f>PROPER(TRIM(Raw_Data!I541))</f>
        <v/>
      </c>
      <c r="J541" s="4">
        <f>TRIM(Raw_Data!J541)</f>
        <v/>
      </c>
      <c r="K541" s="4">
        <f>Raw_Data!K541</f>
        <v/>
      </c>
      <c r="L541" s="4">
        <f>IF(TRIM(Raw_Data!L541)="","No Coupon",TRIM(Raw_Data!L541))</f>
        <v/>
      </c>
      <c r="M541" s="4">
        <f>PROPER(TRIM(Raw_Data!M541))</f>
        <v/>
      </c>
      <c r="N541" s="6">
        <f>ROUND(Raw_Data!N541,2)</f>
        <v/>
      </c>
      <c r="O541" s="7">
        <f>IF(COUNTIF($A$2:$A$1201,A541)&gt;1,"DUPLICATE","Unique")</f>
        <v/>
      </c>
      <c r="P541" s="7">
        <f>IF(COUNTIF($J$2:$J$1201,J541)&gt;1,"DUPLICATE","Unique")</f>
        <v/>
      </c>
      <c r="Q541" s="4">
        <f>IF(TRIM(Raw_Data!L541)="","Yes","No")</f>
        <v/>
      </c>
      <c r="R541" s="4">
        <f>IF(ISNUMBER(B541),"Valid","INVALID")</f>
        <v/>
      </c>
    </row>
    <row r="542">
      <c r="A542" s="4">
        <f>TRIM(Raw_Data!A542)</f>
        <v/>
      </c>
      <c r="B542" s="5">
        <f>Raw_Data!B542</f>
        <v/>
      </c>
      <c r="C542" s="4">
        <f>TRIM(Raw_Data!C542)</f>
        <v/>
      </c>
      <c r="D542" s="4">
        <f>PROPER(TRIM(Raw_Data!D542))</f>
        <v/>
      </c>
      <c r="E542" s="4">
        <f>Raw_Data!E542</f>
        <v/>
      </c>
      <c r="F542" s="6">
        <f>ROUND(Raw_Data!F542,2)</f>
        <v/>
      </c>
      <c r="G542" s="4">
        <f>PROPER(TRIM(Raw_Data!G542))</f>
        <v/>
      </c>
      <c r="H542" s="4">
        <f>PROPER(TRIM(Raw_Data!H542))</f>
        <v/>
      </c>
      <c r="I542" s="4">
        <f>PROPER(TRIM(Raw_Data!I542))</f>
        <v/>
      </c>
      <c r="J542" s="4">
        <f>TRIM(Raw_Data!J542)</f>
        <v/>
      </c>
      <c r="K542" s="4">
        <f>Raw_Data!K542</f>
        <v/>
      </c>
      <c r="L542" s="4">
        <f>IF(TRIM(Raw_Data!L542)="","No Coupon",TRIM(Raw_Data!L542))</f>
        <v/>
      </c>
      <c r="M542" s="4">
        <f>PROPER(TRIM(Raw_Data!M542))</f>
        <v/>
      </c>
      <c r="N542" s="6">
        <f>ROUND(Raw_Data!N542,2)</f>
        <v/>
      </c>
      <c r="O542" s="7">
        <f>IF(COUNTIF($A$2:$A$1201,A542)&gt;1,"DUPLICATE","Unique")</f>
        <v/>
      </c>
      <c r="P542" s="7">
        <f>IF(COUNTIF($J$2:$J$1201,J542)&gt;1,"DUPLICATE","Unique")</f>
        <v/>
      </c>
      <c r="Q542" s="4">
        <f>IF(TRIM(Raw_Data!L542)="","Yes","No")</f>
        <v/>
      </c>
      <c r="R542" s="4">
        <f>IF(ISNUMBER(B542),"Valid","INVALID")</f>
        <v/>
      </c>
    </row>
    <row r="543">
      <c r="A543" s="4">
        <f>TRIM(Raw_Data!A543)</f>
        <v/>
      </c>
      <c r="B543" s="5">
        <f>Raw_Data!B543</f>
        <v/>
      </c>
      <c r="C543" s="4">
        <f>TRIM(Raw_Data!C543)</f>
        <v/>
      </c>
      <c r="D543" s="4">
        <f>PROPER(TRIM(Raw_Data!D543))</f>
        <v/>
      </c>
      <c r="E543" s="4">
        <f>Raw_Data!E543</f>
        <v/>
      </c>
      <c r="F543" s="6">
        <f>ROUND(Raw_Data!F543,2)</f>
        <v/>
      </c>
      <c r="G543" s="4">
        <f>PROPER(TRIM(Raw_Data!G543))</f>
        <v/>
      </c>
      <c r="H543" s="4">
        <f>PROPER(TRIM(Raw_Data!H543))</f>
        <v/>
      </c>
      <c r="I543" s="4">
        <f>PROPER(TRIM(Raw_Data!I543))</f>
        <v/>
      </c>
      <c r="J543" s="4">
        <f>TRIM(Raw_Data!J543)</f>
        <v/>
      </c>
      <c r="K543" s="4">
        <f>Raw_Data!K543</f>
        <v/>
      </c>
      <c r="L543" s="4">
        <f>IF(TRIM(Raw_Data!L543)="","No Coupon",TRIM(Raw_Data!L543))</f>
        <v/>
      </c>
      <c r="M543" s="4">
        <f>PROPER(TRIM(Raw_Data!M543))</f>
        <v/>
      </c>
      <c r="N543" s="6">
        <f>ROUND(Raw_Data!N543,2)</f>
        <v/>
      </c>
      <c r="O543" s="7">
        <f>IF(COUNTIF($A$2:$A$1201,A543)&gt;1,"DUPLICATE","Unique")</f>
        <v/>
      </c>
      <c r="P543" s="7">
        <f>IF(COUNTIF($J$2:$J$1201,J543)&gt;1,"DUPLICATE","Unique")</f>
        <v/>
      </c>
      <c r="Q543" s="4">
        <f>IF(TRIM(Raw_Data!L543)="","Yes","No")</f>
        <v/>
      </c>
      <c r="R543" s="4">
        <f>IF(ISNUMBER(B543),"Valid","INVALID")</f>
        <v/>
      </c>
    </row>
    <row r="544">
      <c r="A544" s="4">
        <f>TRIM(Raw_Data!A544)</f>
        <v/>
      </c>
      <c r="B544" s="5">
        <f>Raw_Data!B544</f>
        <v/>
      </c>
      <c r="C544" s="4">
        <f>TRIM(Raw_Data!C544)</f>
        <v/>
      </c>
      <c r="D544" s="4">
        <f>PROPER(TRIM(Raw_Data!D544))</f>
        <v/>
      </c>
      <c r="E544" s="4">
        <f>Raw_Data!E544</f>
        <v/>
      </c>
      <c r="F544" s="6">
        <f>ROUND(Raw_Data!F544,2)</f>
        <v/>
      </c>
      <c r="G544" s="4">
        <f>PROPER(TRIM(Raw_Data!G544))</f>
        <v/>
      </c>
      <c r="H544" s="4">
        <f>PROPER(TRIM(Raw_Data!H544))</f>
        <v/>
      </c>
      <c r="I544" s="4">
        <f>PROPER(TRIM(Raw_Data!I544))</f>
        <v/>
      </c>
      <c r="J544" s="4">
        <f>TRIM(Raw_Data!J544)</f>
        <v/>
      </c>
      <c r="K544" s="4">
        <f>Raw_Data!K544</f>
        <v/>
      </c>
      <c r="L544" s="4">
        <f>IF(TRIM(Raw_Data!L544)="","No Coupon",TRIM(Raw_Data!L544))</f>
        <v/>
      </c>
      <c r="M544" s="4">
        <f>PROPER(TRIM(Raw_Data!M544))</f>
        <v/>
      </c>
      <c r="N544" s="6">
        <f>ROUND(Raw_Data!N544,2)</f>
        <v/>
      </c>
      <c r="O544" s="7">
        <f>IF(COUNTIF($A$2:$A$1201,A544)&gt;1,"DUPLICATE","Unique")</f>
        <v/>
      </c>
      <c r="P544" s="7">
        <f>IF(COUNTIF($J$2:$J$1201,J544)&gt;1,"DUPLICATE","Unique")</f>
        <v/>
      </c>
      <c r="Q544" s="4">
        <f>IF(TRIM(Raw_Data!L544)="","Yes","No")</f>
        <v/>
      </c>
      <c r="R544" s="4">
        <f>IF(ISNUMBER(B544),"Valid","INVALID")</f>
        <v/>
      </c>
    </row>
    <row r="545">
      <c r="A545" s="4">
        <f>TRIM(Raw_Data!A545)</f>
        <v/>
      </c>
      <c r="B545" s="5">
        <f>Raw_Data!B545</f>
        <v/>
      </c>
      <c r="C545" s="4">
        <f>TRIM(Raw_Data!C545)</f>
        <v/>
      </c>
      <c r="D545" s="4">
        <f>PROPER(TRIM(Raw_Data!D545))</f>
        <v/>
      </c>
      <c r="E545" s="4">
        <f>Raw_Data!E545</f>
        <v/>
      </c>
      <c r="F545" s="6">
        <f>ROUND(Raw_Data!F545,2)</f>
        <v/>
      </c>
      <c r="G545" s="4">
        <f>PROPER(TRIM(Raw_Data!G545))</f>
        <v/>
      </c>
      <c r="H545" s="4">
        <f>PROPER(TRIM(Raw_Data!H545))</f>
        <v/>
      </c>
      <c r="I545" s="4">
        <f>PROPER(TRIM(Raw_Data!I545))</f>
        <v/>
      </c>
      <c r="J545" s="4">
        <f>TRIM(Raw_Data!J545)</f>
        <v/>
      </c>
      <c r="K545" s="4">
        <f>Raw_Data!K545</f>
        <v/>
      </c>
      <c r="L545" s="4">
        <f>IF(TRIM(Raw_Data!L545)="","No Coupon",TRIM(Raw_Data!L545))</f>
        <v/>
      </c>
      <c r="M545" s="4">
        <f>PROPER(TRIM(Raw_Data!M545))</f>
        <v/>
      </c>
      <c r="N545" s="6">
        <f>ROUND(Raw_Data!N545,2)</f>
        <v/>
      </c>
      <c r="O545" s="7">
        <f>IF(COUNTIF($A$2:$A$1201,A545)&gt;1,"DUPLICATE","Unique")</f>
        <v/>
      </c>
      <c r="P545" s="7">
        <f>IF(COUNTIF($J$2:$J$1201,J545)&gt;1,"DUPLICATE","Unique")</f>
        <v/>
      </c>
      <c r="Q545" s="4">
        <f>IF(TRIM(Raw_Data!L545)="","Yes","No")</f>
        <v/>
      </c>
      <c r="R545" s="4">
        <f>IF(ISNUMBER(B545),"Valid","INVALID")</f>
        <v/>
      </c>
    </row>
    <row r="546">
      <c r="A546" s="4">
        <f>TRIM(Raw_Data!A546)</f>
        <v/>
      </c>
      <c r="B546" s="5">
        <f>Raw_Data!B546</f>
        <v/>
      </c>
      <c r="C546" s="4">
        <f>TRIM(Raw_Data!C546)</f>
        <v/>
      </c>
      <c r="D546" s="4">
        <f>PROPER(TRIM(Raw_Data!D546))</f>
        <v/>
      </c>
      <c r="E546" s="4">
        <f>Raw_Data!E546</f>
        <v/>
      </c>
      <c r="F546" s="6">
        <f>ROUND(Raw_Data!F546,2)</f>
        <v/>
      </c>
      <c r="G546" s="4">
        <f>PROPER(TRIM(Raw_Data!G546))</f>
        <v/>
      </c>
      <c r="H546" s="4">
        <f>PROPER(TRIM(Raw_Data!H546))</f>
        <v/>
      </c>
      <c r="I546" s="4">
        <f>PROPER(TRIM(Raw_Data!I546))</f>
        <v/>
      </c>
      <c r="J546" s="4">
        <f>TRIM(Raw_Data!J546)</f>
        <v/>
      </c>
      <c r="K546" s="4">
        <f>Raw_Data!K546</f>
        <v/>
      </c>
      <c r="L546" s="4">
        <f>IF(TRIM(Raw_Data!L546)="","No Coupon",TRIM(Raw_Data!L546))</f>
        <v/>
      </c>
      <c r="M546" s="4">
        <f>PROPER(TRIM(Raw_Data!M546))</f>
        <v/>
      </c>
      <c r="N546" s="6">
        <f>ROUND(Raw_Data!N546,2)</f>
        <v/>
      </c>
      <c r="O546" s="7">
        <f>IF(COUNTIF($A$2:$A$1201,A546)&gt;1,"DUPLICATE","Unique")</f>
        <v/>
      </c>
      <c r="P546" s="7">
        <f>IF(COUNTIF($J$2:$J$1201,J546)&gt;1,"DUPLICATE","Unique")</f>
        <v/>
      </c>
      <c r="Q546" s="4">
        <f>IF(TRIM(Raw_Data!L546)="","Yes","No")</f>
        <v/>
      </c>
      <c r="R546" s="4">
        <f>IF(ISNUMBER(B546),"Valid","INVALID")</f>
        <v/>
      </c>
    </row>
    <row r="547">
      <c r="A547" s="4">
        <f>TRIM(Raw_Data!A547)</f>
        <v/>
      </c>
      <c r="B547" s="5">
        <f>Raw_Data!B547</f>
        <v/>
      </c>
      <c r="C547" s="4">
        <f>TRIM(Raw_Data!C547)</f>
        <v/>
      </c>
      <c r="D547" s="4">
        <f>PROPER(TRIM(Raw_Data!D547))</f>
        <v/>
      </c>
      <c r="E547" s="4">
        <f>Raw_Data!E547</f>
        <v/>
      </c>
      <c r="F547" s="6">
        <f>ROUND(Raw_Data!F547,2)</f>
        <v/>
      </c>
      <c r="G547" s="4">
        <f>PROPER(TRIM(Raw_Data!G547))</f>
        <v/>
      </c>
      <c r="H547" s="4">
        <f>PROPER(TRIM(Raw_Data!H547))</f>
        <v/>
      </c>
      <c r="I547" s="4">
        <f>PROPER(TRIM(Raw_Data!I547))</f>
        <v/>
      </c>
      <c r="J547" s="4">
        <f>TRIM(Raw_Data!J547)</f>
        <v/>
      </c>
      <c r="K547" s="4">
        <f>Raw_Data!K547</f>
        <v/>
      </c>
      <c r="L547" s="4">
        <f>IF(TRIM(Raw_Data!L547)="","No Coupon",TRIM(Raw_Data!L547))</f>
        <v/>
      </c>
      <c r="M547" s="4">
        <f>PROPER(TRIM(Raw_Data!M547))</f>
        <v/>
      </c>
      <c r="N547" s="6">
        <f>ROUND(Raw_Data!N547,2)</f>
        <v/>
      </c>
      <c r="O547" s="7">
        <f>IF(COUNTIF($A$2:$A$1201,A547)&gt;1,"DUPLICATE","Unique")</f>
        <v/>
      </c>
      <c r="P547" s="7">
        <f>IF(COUNTIF($J$2:$J$1201,J547)&gt;1,"DUPLICATE","Unique")</f>
        <v/>
      </c>
      <c r="Q547" s="4">
        <f>IF(TRIM(Raw_Data!L547)="","Yes","No")</f>
        <v/>
      </c>
      <c r="R547" s="4">
        <f>IF(ISNUMBER(B547),"Valid","INVALID")</f>
        <v/>
      </c>
    </row>
    <row r="548">
      <c r="A548" s="4">
        <f>TRIM(Raw_Data!A548)</f>
        <v/>
      </c>
      <c r="B548" s="5">
        <f>Raw_Data!B548</f>
        <v/>
      </c>
      <c r="C548" s="4">
        <f>TRIM(Raw_Data!C548)</f>
        <v/>
      </c>
      <c r="D548" s="4">
        <f>PROPER(TRIM(Raw_Data!D548))</f>
        <v/>
      </c>
      <c r="E548" s="4">
        <f>Raw_Data!E548</f>
        <v/>
      </c>
      <c r="F548" s="6">
        <f>ROUND(Raw_Data!F548,2)</f>
        <v/>
      </c>
      <c r="G548" s="4">
        <f>PROPER(TRIM(Raw_Data!G548))</f>
        <v/>
      </c>
      <c r="H548" s="4">
        <f>PROPER(TRIM(Raw_Data!H548))</f>
        <v/>
      </c>
      <c r="I548" s="4">
        <f>PROPER(TRIM(Raw_Data!I548))</f>
        <v/>
      </c>
      <c r="J548" s="4">
        <f>TRIM(Raw_Data!J548)</f>
        <v/>
      </c>
      <c r="K548" s="4">
        <f>Raw_Data!K548</f>
        <v/>
      </c>
      <c r="L548" s="4">
        <f>IF(TRIM(Raw_Data!L548)="","No Coupon",TRIM(Raw_Data!L548))</f>
        <v/>
      </c>
      <c r="M548" s="4">
        <f>PROPER(TRIM(Raw_Data!M548))</f>
        <v/>
      </c>
      <c r="N548" s="6">
        <f>ROUND(Raw_Data!N548,2)</f>
        <v/>
      </c>
      <c r="O548" s="7">
        <f>IF(COUNTIF($A$2:$A$1201,A548)&gt;1,"DUPLICATE","Unique")</f>
        <v/>
      </c>
      <c r="P548" s="7">
        <f>IF(COUNTIF($J$2:$J$1201,J548)&gt;1,"DUPLICATE","Unique")</f>
        <v/>
      </c>
      <c r="Q548" s="4">
        <f>IF(TRIM(Raw_Data!L548)="","Yes","No")</f>
        <v/>
      </c>
      <c r="R548" s="4">
        <f>IF(ISNUMBER(B548),"Valid","INVALID")</f>
        <v/>
      </c>
    </row>
    <row r="549">
      <c r="A549" s="4">
        <f>TRIM(Raw_Data!A549)</f>
        <v/>
      </c>
      <c r="B549" s="5">
        <f>Raw_Data!B549</f>
        <v/>
      </c>
      <c r="C549" s="4">
        <f>TRIM(Raw_Data!C549)</f>
        <v/>
      </c>
      <c r="D549" s="4">
        <f>PROPER(TRIM(Raw_Data!D549))</f>
        <v/>
      </c>
      <c r="E549" s="4">
        <f>Raw_Data!E549</f>
        <v/>
      </c>
      <c r="F549" s="6">
        <f>ROUND(Raw_Data!F549,2)</f>
        <v/>
      </c>
      <c r="G549" s="4">
        <f>PROPER(TRIM(Raw_Data!G549))</f>
        <v/>
      </c>
      <c r="H549" s="4">
        <f>PROPER(TRIM(Raw_Data!H549))</f>
        <v/>
      </c>
      <c r="I549" s="4">
        <f>PROPER(TRIM(Raw_Data!I549))</f>
        <v/>
      </c>
      <c r="J549" s="4">
        <f>TRIM(Raw_Data!J549)</f>
        <v/>
      </c>
      <c r="K549" s="4">
        <f>Raw_Data!K549</f>
        <v/>
      </c>
      <c r="L549" s="4">
        <f>IF(TRIM(Raw_Data!L549)="","No Coupon",TRIM(Raw_Data!L549))</f>
        <v/>
      </c>
      <c r="M549" s="4">
        <f>PROPER(TRIM(Raw_Data!M549))</f>
        <v/>
      </c>
      <c r="N549" s="6">
        <f>ROUND(Raw_Data!N549,2)</f>
        <v/>
      </c>
      <c r="O549" s="7">
        <f>IF(COUNTIF($A$2:$A$1201,A549)&gt;1,"DUPLICATE","Unique")</f>
        <v/>
      </c>
      <c r="P549" s="7">
        <f>IF(COUNTIF($J$2:$J$1201,J549)&gt;1,"DUPLICATE","Unique")</f>
        <v/>
      </c>
      <c r="Q549" s="4">
        <f>IF(TRIM(Raw_Data!L549)="","Yes","No")</f>
        <v/>
      </c>
      <c r="R549" s="4">
        <f>IF(ISNUMBER(B549),"Valid","INVALID")</f>
        <v/>
      </c>
    </row>
    <row r="550">
      <c r="A550" s="4">
        <f>TRIM(Raw_Data!A550)</f>
        <v/>
      </c>
      <c r="B550" s="5">
        <f>Raw_Data!B550</f>
        <v/>
      </c>
      <c r="C550" s="4">
        <f>TRIM(Raw_Data!C550)</f>
        <v/>
      </c>
      <c r="D550" s="4">
        <f>PROPER(TRIM(Raw_Data!D550))</f>
        <v/>
      </c>
      <c r="E550" s="4">
        <f>Raw_Data!E550</f>
        <v/>
      </c>
      <c r="F550" s="6">
        <f>ROUND(Raw_Data!F550,2)</f>
        <v/>
      </c>
      <c r="G550" s="4">
        <f>PROPER(TRIM(Raw_Data!G550))</f>
        <v/>
      </c>
      <c r="H550" s="4">
        <f>PROPER(TRIM(Raw_Data!H550))</f>
        <v/>
      </c>
      <c r="I550" s="4">
        <f>PROPER(TRIM(Raw_Data!I550))</f>
        <v/>
      </c>
      <c r="J550" s="4">
        <f>TRIM(Raw_Data!J550)</f>
        <v/>
      </c>
      <c r="K550" s="4">
        <f>Raw_Data!K550</f>
        <v/>
      </c>
      <c r="L550" s="4">
        <f>IF(TRIM(Raw_Data!L550)="","No Coupon",TRIM(Raw_Data!L550))</f>
        <v/>
      </c>
      <c r="M550" s="4">
        <f>PROPER(TRIM(Raw_Data!M550))</f>
        <v/>
      </c>
      <c r="N550" s="6">
        <f>ROUND(Raw_Data!N550,2)</f>
        <v/>
      </c>
      <c r="O550" s="7">
        <f>IF(COUNTIF($A$2:$A$1201,A550)&gt;1,"DUPLICATE","Unique")</f>
        <v/>
      </c>
      <c r="P550" s="7">
        <f>IF(COUNTIF($J$2:$J$1201,J550)&gt;1,"DUPLICATE","Unique")</f>
        <v/>
      </c>
      <c r="Q550" s="4">
        <f>IF(TRIM(Raw_Data!L550)="","Yes","No")</f>
        <v/>
      </c>
      <c r="R550" s="4">
        <f>IF(ISNUMBER(B550),"Valid","INVALID")</f>
        <v/>
      </c>
    </row>
    <row r="551">
      <c r="A551" s="4">
        <f>TRIM(Raw_Data!A551)</f>
        <v/>
      </c>
      <c r="B551" s="5">
        <f>Raw_Data!B551</f>
        <v/>
      </c>
      <c r="C551" s="4">
        <f>TRIM(Raw_Data!C551)</f>
        <v/>
      </c>
      <c r="D551" s="4">
        <f>PROPER(TRIM(Raw_Data!D551))</f>
        <v/>
      </c>
      <c r="E551" s="4">
        <f>Raw_Data!E551</f>
        <v/>
      </c>
      <c r="F551" s="6">
        <f>ROUND(Raw_Data!F551,2)</f>
        <v/>
      </c>
      <c r="G551" s="4">
        <f>PROPER(TRIM(Raw_Data!G551))</f>
        <v/>
      </c>
      <c r="H551" s="4">
        <f>PROPER(TRIM(Raw_Data!H551))</f>
        <v/>
      </c>
      <c r="I551" s="4">
        <f>PROPER(TRIM(Raw_Data!I551))</f>
        <v/>
      </c>
      <c r="J551" s="4">
        <f>TRIM(Raw_Data!J551)</f>
        <v/>
      </c>
      <c r="K551" s="4">
        <f>Raw_Data!K551</f>
        <v/>
      </c>
      <c r="L551" s="4">
        <f>IF(TRIM(Raw_Data!L551)="","No Coupon",TRIM(Raw_Data!L551))</f>
        <v/>
      </c>
      <c r="M551" s="4">
        <f>PROPER(TRIM(Raw_Data!M551))</f>
        <v/>
      </c>
      <c r="N551" s="6">
        <f>ROUND(Raw_Data!N551,2)</f>
        <v/>
      </c>
      <c r="O551" s="7">
        <f>IF(COUNTIF($A$2:$A$1201,A551)&gt;1,"DUPLICATE","Unique")</f>
        <v/>
      </c>
      <c r="P551" s="7">
        <f>IF(COUNTIF($J$2:$J$1201,J551)&gt;1,"DUPLICATE","Unique")</f>
        <v/>
      </c>
      <c r="Q551" s="4">
        <f>IF(TRIM(Raw_Data!L551)="","Yes","No")</f>
        <v/>
      </c>
      <c r="R551" s="4">
        <f>IF(ISNUMBER(B551),"Valid","INVALID")</f>
        <v/>
      </c>
    </row>
    <row r="552">
      <c r="A552" s="4">
        <f>TRIM(Raw_Data!A552)</f>
        <v/>
      </c>
      <c r="B552" s="5">
        <f>Raw_Data!B552</f>
        <v/>
      </c>
      <c r="C552" s="4">
        <f>TRIM(Raw_Data!C552)</f>
        <v/>
      </c>
      <c r="D552" s="4">
        <f>PROPER(TRIM(Raw_Data!D552))</f>
        <v/>
      </c>
      <c r="E552" s="4">
        <f>Raw_Data!E552</f>
        <v/>
      </c>
      <c r="F552" s="6">
        <f>ROUND(Raw_Data!F552,2)</f>
        <v/>
      </c>
      <c r="G552" s="4">
        <f>PROPER(TRIM(Raw_Data!G552))</f>
        <v/>
      </c>
      <c r="H552" s="4">
        <f>PROPER(TRIM(Raw_Data!H552))</f>
        <v/>
      </c>
      <c r="I552" s="4">
        <f>PROPER(TRIM(Raw_Data!I552))</f>
        <v/>
      </c>
      <c r="J552" s="4">
        <f>TRIM(Raw_Data!J552)</f>
        <v/>
      </c>
      <c r="K552" s="4">
        <f>Raw_Data!K552</f>
        <v/>
      </c>
      <c r="L552" s="4">
        <f>IF(TRIM(Raw_Data!L552)="","No Coupon",TRIM(Raw_Data!L552))</f>
        <v/>
      </c>
      <c r="M552" s="4">
        <f>PROPER(TRIM(Raw_Data!M552))</f>
        <v/>
      </c>
      <c r="N552" s="6">
        <f>ROUND(Raw_Data!N552,2)</f>
        <v/>
      </c>
      <c r="O552" s="7">
        <f>IF(COUNTIF($A$2:$A$1201,A552)&gt;1,"DUPLICATE","Unique")</f>
        <v/>
      </c>
      <c r="P552" s="7">
        <f>IF(COUNTIF($J$2:$J$1201,J552)&gt;1,"DUPLICATE","Unique")</f>
        <v/>
      </c>
      <c r="Q552" s="4">
        <f>IF(TRIM(Raw_Data!L552)="","Yes","No")</f>
        <v/>
      </c>
      <c r="R552" s="4">
        <f>IF(ISNUMBER(B552),"Valid","INVALID")</f>
        <v/>
      </c>
    </row>
    <row r="553">
      <c r="A553" s="4">
        <f>TRIM(Raw_Data!A553)</f>
        <v/>
      </c>
      <c r="B553" s="5">
        <f>Raw_Data!B553</f>
        <v/>
      </c>
      <c r="C553" s="4">
        <f>TRIM(Raw_Data!C553)</f>
        <v/>
      </c>
      <c r="D553" s="4">
        <f>PROPER(TRIM(Raw_Data!D553))</f>
        <v/>
      </c>
      <c r="E553" s="4">
        <f>Raw_Data!E553</f>
        <v/>
      </c>
      <c r="F553" s="6">
        <f>ROUND(Raw_Data!F553,2)</f>
        <v/>
      </c>
      <c r="G553" s="4">
        <f>PROPER(TRIM(Raw_Data!G553))</f>
        <v/>
      </c>
      <c r="H553" s="4">
        <f>PROPER(TRIM(Raw_Data!H553))</f>
        <v/>
      </c>
      <c r="I553" s="4">
        <f>PROPER(TRIM(Raw_Data!I553))</f>
        <v/>
      </c>
      <c r="J553" s="4">
        <f>TRIM(Raw_Data!J553)</f>
        <v/>
      </c>
      <c r="K553" s="4">
        <f>Raw_Data!K553</f>
        <v/>
      </c>
      <c r="L553" s="4">
        <f>IF(TRIM(Raw_Data!L553)="","No Coupon",TRIM(Raw_Data!L553))</f>
        <v/>
      </c>
      <c r="M553" s="4">
        <f>PROPER(TRIM(Raw_Data!M553))</f>
        <v/>
      </c>
      <c r="N553" s="6">
        <f>ROUND(Raw_Data!N553,2)</f>
        <v/>
      </c>
      <c r="O553" s="7">
        <f>IF(COUNTIF($A$2:$A$1201,A553)&gt;1,"DUPLICATE","Unique")</f>
        <v/>
      </c>
      <c r="P553" s="7">
        <f>IF(COUNTIF($J$2:$J$1201,J553)&gt;1,"DUPLICATE","Unique")</f>
        <v/>
      </c>
      <c r="Q553" s="4">
        <f>IF(TRIM(Raw_Data!L553)="","Yes","No")</f>
        <v/>
      </c>
      <c r="R553" s="4">
        <f>IF(ISNUMBER(B553),"Valid","INVALID")</f>
        <v/>
      </c>
    </row>
    <row r="554">
      <c r="A554" s="4">
        <f>TRIM(Raw_Data!A554)</f>
        <v/>
      </c>
      <c r="B554" s="5">
        <f>Raw_Data!B554</f>
        <v/>
      </c>
      <c r="C554" s="4">
        <f>TRIM(Raw_Data!C554)</f>
        <v/>
      </c>
      <c r="D554" s="4">
        <f>PROPER(TRIM(Raw_Data!D554))</f>
        <v/>
      </c>
      <c r="E554" s="4">
        <f>Raw_Data!E554</f>
        <v/>
      </c>
      <c r="F554" s="6">
        <f>ROUND(Raw_Data!F554,2)</f>
        <v/>
      </c>
      <c r="G554" s="4">
        <f>PROPER(TRIM(Raw_Data!G554))</f>
        <v/>
      </c>
      <c r="H554" s="4">
        <f>PROPER(TRIM(Raw_Data!H554))</f>
        <v/>
      </c>
      <c r="I554" s="4">
        <f>PROPER(TRIM(Raw_Data!I554))</f>
        <v/>
      </c>
      <c r="J554" s="4">
        <f>TRIM(Raw_Data!J554)</f>
        <v/>
      </c>
      <c r="K554" s="4">
        <f>Raw_Data!K554</f>
        <v/>
      </c>
      <c r="L554" s="4">
        <f>IF(TRIM(Raw_Data!L554)="","No Coupon",TRIM(Raw_Data!L554))</f>
        <v/>
      </c>
      <c r="M554" s="4">
        <f>PROPER(TRIM(Raw_Data!M554))</f>
        <v/>
      </c>
      <c r="N554" s="6">
        <f>ROUND(Raw_Data!N554,2)</f>
        <v/>
      </c>
      <c r="O554" s="7">
        <f>IF(COUNTIF($A$2:$A$1201,A554)&gt;1,"DUPLICATE","Unique")</f>
        <v/>
      </c>
      <c r="P554" s="7">
        <f>IF(COUNTIF($J$2:$J$1201,J554)&gt;1,"DUPLICATE","Unique")</f>
        <v/>
      </c>
      <c r="Q554" s="4">
        <f>IF(TRIM(Raw_Data!L554)="","Yes","No")</f>
        <v/>
      </c>
      <c r="R554" s="4">
        <f>IF(ISNUMBER(B554),"Valid","INVALID")</f>
        <v/>
      </c>
    </row>
    <row r="555">
      <c r="A555" s="4">
        <f>TRIM(Raw_Data!A555)</f>
        <v/>
      </c>
      <c r="B555" s="5">
        <f>Raw_Data!B555</f>
        <v/>
      </c>
      <c r="C555" s="4">
        <f>TRIM(Raw_Data!C555)</f>
        <v/>
      </c>
      <c r="D555" s="4">
        <f>PROPER(TRIM(Raw_Data!D555))</f>
        <v/>
      </c>
      <c r="E555" s="4">
        <f>Raw_Data!E555</f>
        <v/>
      </c>
      <c r="F555" s="6">
        <f>ROUND(Raw_Data!F555,2)</f>
        <v/>
      </c>
      <c r="G555" s="4">
        <f>PROPER(TRIM(Raw_Data!G555))</f>
        <v/>
      </c>
      <c r="H555" s="4">
        <f>PROPER(TRIM(Raw_Data!H555))</f>
        <v/>
      </c>
      <c r="I555" s="4">
        <f>PROPER(TRIM(Raw_Data!I555))</f>
        <v/>
      </c>
      <c r="J555" s="4">
        <f>TRIM(Raw_Data!J555)</f>
        <v/>
      </c>
      <c r="K555" s="4">
        <f>Raw_Data!K555</f>
        <v/>
      </c>
      <c r="L555" s="4">
        <f>IF(TRIM(Raw_Data!L555)="","No Coupon",TRIM(Raw_Data!L555))</f>
        <v/>
      </c>
      <c r="M555" s="4">
        <f>PROPER(TRIM(Raw_Data!M555))</f>
        <v/>
      </c>
      <c r="N555" s="6">
        <f>ROUND(Raw_Data!N555,2)</f>
        <v/>
      </c>
      <c r="O555" s="7">
        <f>IF(COUNTIF($A$2:$A$1201,A555)&gt;1,"DUPLICATE","Unique")</f>
        <v/>
      </c>
      <c r="P555" s="7">
        <f>IF(COUNTIF($J$2:$J$1201,J555)&gt;1,"DUPLICATE","Unique")</f>
        <v/>
      </c>
      <c r="Q555" s="4">
        <f>IF(TRIM(Raw_Data!L555)="","Yes","No")</f>
        <v/>
      </c>
      <c r="R555" s="4">
        <f>IF(ISNUMBER(B555),"Valid","INVALID")</f>
        <v/>
      </c>
    </row>
    <row r="556">
      <c r="A556" s="4">
        <f>TRIM(Raw_Data!A556)</f>
        <v/>
      </c>
      <c r="B556" s="5">
        <f>Raw_Data!B556</f>
        <v/>
      </c>
      <c r="C556" s="4">
        <f>TRIM(Raw_Data!C556)</f>
        <v/>
      </c>
      <c r="D556" s="4">
        <f>PROPER(TRIM(Raw_Data!D556))</f>
        <v/>
      </c>
      <c r="E556" s="4">
        <f>Raw_Data!E556</f>
        <v/>
      </c>
      <c r="F556" s="6">
        <f>ROUND(Raw_Data!F556,2)</f>
        <v/>
      </c>
      <c r="G556" s="4">
        <f>PROPER(TRIM(Raw_Data!G556))</f>
        <v/>
      </c>
      <c r="H556" s="4">
        <f>PROPER(TRIM(Raw_Data!H556))</f>
        <v/>
      </c>
      <c r="I556" s="4">
        <f>PROPER(TRIM(Raw_Data!I556))</f>
        <v/>
      </c>
      <c r="J556" s="4">
        <f>TRIM(Raw_Data!J556)</f>
        <v/>
      </c>
      <c r="K556" s="4">
        <f>Raw_Data!K556</f>
        <v/>
      </c>
      <c r="L556" s="4">
        <f>IF(TRIM(Raw_Data!L556)="","No Coupon",TRIM(Raw_Data!L556))</f>
        <v/>
      </c>
      <c r="M556" s="4">
        <f>PROPER(TRIM(Raw_Data!M556))</f>
        <v/>
      </c>
      <c r="N556" s="6">
        <f>ROUND(Raw_Data!N556,2)</f>
        <v/>
      </c>
      <c r="O556" s="7">
        <f>IF(COUNTIF($A$2:$A$1201,A556)&gt;1,"DUPLICATE","Unique")</f>
        <v/>
      </c>
      <c r="P556" s="7">
        <f>IF(COUNTIF($J$2:$J$1201,J556)&gt;1,"DUPLICATE","Unique")</f>
        <v/>
      </c>
      <c r="Q556" s="4">
        <f>IF(TRIM(Raw_Data!L556)="","Yes","No")</f>
        <v/>
      </c>
      <c r="R556" s="4">
        <f>IF(ISNUMBER(B556),"Valid","INVALID")</f>
        <v/>
      </c>
    </row>
    <row r="557">
      <c r="A557" s="4">
        <f>TRIM(Raw_Data!A557)</f>
        <v/>
      </c>
      <c r="B557" s="5">
        <f>Raw_Data!B557</f>
        <v/>
      </c>
      <c r="C557" s="4">
        <f>TRIM(Raw_Data!C557)</f>
        <v/>
      </c>
      <c r="D557" s="4">
        <f>PROPER(TRIM(Raw_Data!D557))</f>
        <v/>
      </c>
      <c r="E557" s="4">
        <f>Raw_Data!E557</f>
        <v/>
      </c>
      <c r="F557" s="6">
        <f>ROUND(Raw_Data!F557,2)</f>
        <v/>
      </c>
      <c r="G557" s="4">
        <f>PROPER(TRIM(Raw_Data!G557))</f>
        <v/>
      </c>
      <c r="H557" s="4">
        <f>PROPER(TRIM(Raw_Data!H557))</f>
        <v/>
      </c>
      <c r="I557" s="4">
        <f>PROPER(TRIM(Raw_Data!I557))</f>
        <v/>
      </c>
      <c r="J557" s="4">
        <f>TRIM(Raw_Data!J557)</f>
        <v/>
      </c>
      <c r="K557" s="4">
        <f>Raw_Data!K557</f>
        <v/>
      </c>
      <c r="L557" s="4">
        <f>IF(TRIM(Raw_Data!L557)="","No Coupon",TRIM(Raw_Data!L557))</f>
        <v/>
      </c>
      <c r="M557" s="4">
        <f>PROPER(TRIM(Raw_Data!M557))</f>
        <v/>
      </c>
      <c r="N557" s="6">
        <f>ROUND(Raw_Data!N557,2)</f>
        <v/>
      </c>
      <c r="O557" s="7">
        <f>IF(COUNTIF($A$2:$A$1201,A557)&gt;1,"DUPLICATE","Unique")</f>
        <v/>
      </c>
      <c r="P557" s="7">
        <f>IF(COUNTIF($J$2:$J$1201,J557)&gt;1,"DUPLICATE","Unique")</f>
        <v/>
      </c>
      <c r="Q557" s="4">
        <f>IF(TRIM(Raw_Data!L557)="","Yes","No")</f>
        <v/>
      </c>
      <c r="R557" s="4">
        <f>IF(ISNUMBER(B557),"Valid","INVALID")</f>
        <v/>
      </c>
    </row>
    <row r="558">
      <c r="A558" s="4">
        <f>TRIM(Raw_Data!A558)</f>
        <v/>
      </c>
      <c r="B558" s="5">
        <f>Raw_Data!B558</f>
        <v/>
      </c>
      <c r="C558" s="4">
        <f>TRIM(Raw_Data!C558)</f>
        <v/>
      </c>
      <c r="D558" s="4">
        <f>PROPER(TRIM(Raw_Data!D558))</f>
        <v/>
      </c>
      <c r="E558" s="4">
        <f>Raw_Data!E558</f>
        <v/>
      </c>
      <c r="F558" s="6">
        <f>ROUND(Raw_Data!F558,2)</f>
        <v/>
      </c>
      <c r="G558" s="4">
        <f>PROPER(TRIM(Raw_Data!G558))</f>
        <v/>
      </c>
      <c r="H558" s="4">
        <f>PROPER(TRIM(Raw_Data!H558))</f>
        <v/>
      </c>
      <c r="I558" s="4">
        <f>PROPER(TRIM(Raw_Data!I558))</f>
        <v/>
      </c>
      <c r="J558" s="4">
        <f>TRIM(Raw_Data!J558)</f>
        <v/>
      </c>
      <c r="K558" s="4">
        <f>Raw_Data!K558</f>
        <v/>
      </c>
      <c r="L558" s="4">
        <f>IF(TRIM(Raw_Data!L558)="","No Coupon",TRIM(Raw_Data!L558))</f>
        <v/>
      </c>
      <c r="M558" s="4">
        <f>PROPER(TRIM(Raw_Data!M558))</f>
        <v/>
      </c>
      <c r="N558" s="6">
        <f>ROUND(Raw_Data!N558,2)</f>
        <v/>
      </c>
      <c r="O558" s="7">
        <f>IF(COUNTIF($A$2:$A$1201,A558)&gt;1,"DUPLICATE","Unique")</f>
        <v/>
      </c>
      <c r="P558" s="7">
        <f>IF(COUNTIF($J$2:$J$1201,J558)&gt;1,"DUPLICATE","Unique")</f>
        <v/>
      </c>
      <c r="Q558" s="4">
        <f>IF(TRIM(Raw_Data!L558)="","Yes","No")</f>
        <v/>
      </c>
      <c r="R558" s="4">
        <f>IF(ISNUMBER(B558),"Valid","INVALID")</f>
        <v/>
      </c>
    </row>
    <row r="559">
      <c r="A559" s="4">
        <f>TRIM(Raw_Data!A559)</f>
        <v/>
      </c>
      <c r="B559" s="5">
        <f>Raw_Data!B559</f>
        <v/>
      </c>
      <c r="C559" s="4">
        <f>TRIM(Raw_Data!C559)</f>
        <v/>
      </c>
      <c r="D559" s="4">
        <f>PROPER(TRIM(Raw_Data!D559))</f>
        <v/>
      </c>
      <c r="E559" s="4">
        <f>Raw_Data!E559</f>
        <v/>
      </c>
      <c r="F559" s="6">
        <f>ROUND(Raw_Data!F559,2)</f>
        <v/>
      </c>
      <c r="G559" s="4">
        <f>PROPER(TRIM(Raw_Data!G559))</f>
        <v/>
      </c>
      <c r="H559" s="4">
        <f>PROPER(TRIM(Raw_Data!H559))</f>
        <v/>
      </c>
      <c r="I559" s="4">
        <f>PROPER(TRIM(Raw_Data!I559))</f>
        <v/>
      </c>
      <c r="J559" s="4">
        <f>TRIM(Raw_Data!J559)</f>
        <v/>
      </c>
      <c r="K559" s="4">
        <f>Raw_Data!K559</f>
        <v/>
      </c>
      <c r="L559" s="4">
        <f>IF(TRIM(Raw_Data!L559)="","No Coupon",TRIM(Raw_Data!L559))</f>
        <v/>
      </c>
      <c r="M559" s="4">
        <f>PROPER(TRIM(Raw_Data!M559))</f>
        <v/>
      </c>
      <c r="N559" s="6">
        <f>ROUND(Raw_Data!N559,2)</f>
        <v/>
      </c>
      <c r="O559" s="7">
        <f>IF(COUNTIF($A$2:$A$1201,A559)&gt;1,"DUPLICATE","Unique")</f>
        <v/>
      </c>
      <c r="P559" s="7">
        <f>IF(COUNTIF($J$2:$J$1201,J559)&gt;1,"DUPLICATE","Unique")</f>
        <v/>
      </c>
      <c r="Q559" s="4">
        <f>IF(TRIM(Raw_Data!L559)="","Yes","No")</f>
        <v/>
      </c>
      <c r="R559" s="4">
        <f>IF(ISNUMBER(B559),"Valid","INVALID")</f>
        <v/>
      </c>
    </row>
    <row r="560">
      <c r="A560" s="4">
        <f>TRIM(Raw_Data!A560)</f>
        <v/>
      </c>
      <c r="B560" s="5">
        <f>Raw_Data!B560</f>
        <v/>
      </c>
      <c r="C560" s="4">
        <f>TRIM(Raw_Data!C560)</f>
        <v/>
      </c>
      <c r="D560" s="4">
        <f>PROPER(TRIM(Raw_Data!D560))</f>
        <v/>
      </c>
      <c r="E560" s="4">
        <f>Raw_Data!E560</f>
        <v/>
      </c>
      <c r="F560" s="6">
        <f>ROUND(Raw_Data!F560,2)</f>
        <v/>
      </c>
      <c r="G560" s="4">
        <f>PROPER(TRIM(Raw_Data!G560))</f>
        <v/>
      </c>
      <c r="H560" s="4">
        <f>PROPER(TRIM(Raw_Data!H560))</f>
        <v/>
      </c>
      <c r="I560" s="4">
        <f>PROPER(TRIM(Raw_Data!I560))</f>
        <v/>
      </c>
      <c r="J560" s="4">
        <f>TRIM(Raw_Data!J560)</f>
        <v/>
      </c>
      <c r="K560" s="4">
        <f>Raw_Data!K560</f>
        <v/>
      </c>
      <c r="L560" s="4">
        <f>IF(TRIM(Raw_Data!L560)="","No Coupon",TRIM(Raw_Data!L560))</f>
        <v/>
      </c>
      <c r="M560" s="4">
        <f>PROPER(TRIM(Raw_Data!M560))</f>
        <v/>
      </c>
      <c r="N560" s="6">
        <f>ROUND(Raw_Data!N560,2)</f>
        <v/>
      </c>
      <c r="O560" s="7">
        <f>IF(COUNTIF($A$2:$A$1201,A560)&gt;1,"DUPLICATE","Unique")</f>
        <v/>
      </c>
      <c r="P560" s="7">
        <f>IF(COUNTIF($J$2:$J$1201,J560)&gt;1,"DUPLICATE","Unique")</f>
        <v/>
      </c>
      <c r="Q560" s="4">
        <f>IF(TRIM(Raw_Data!L560)="","Yes","No")</f>
        <v/>
      </c>
      <c r="R560" s="4">
        <f>IF(ISNUMBER(B560),"Valid","INVALID")</f>
        <v/>
      </c>
    </row>
    <row r="561">
      <c r="A561" s="4">
        <f>TRIM(Raw_Data!A561)</f>
        <v/>
      </c>
      <c r="B561" s="5">
        <f>Raw_Data!B561</f>
        <v/>
      </c>
      <c r="C561" s="4">
        <f>TRIM(Raw_Data!C561)</f>
        <v/>
      </c>
      <c r="D561" s="4">
        <f>PROPER(TRIM(Raw_Data!D561))</f>
        <v/>
      </c>
      <c r="E561" s="4">
        <f>Raw_Data!E561</f>
        <v/>
      </c>
      <c r="F561" s="6">
        <f>ROUND(Raw_Data!F561,2)</f>
        <v/>
      </c>
      <c r="G561" s="4">
        <f>PROPER(TRIM(Raw_Data!G561))</f>
        <v/>
      </c>
      <c r="H561" s="4">
        <f>PROPER(TRIM(Raw_Data!H561))</f>
        <v/>
      </c>
      <c r="I561" s="4">
        <f>PROPER(TRIM(Raw_Data!I561))</f>
        <v/>
      </c>
      <c r="J561" s="4">
        <f>TRIM(Raw_Data!J561)</f>
        <v/>
      </c>
      <c r="K561" s="4">
        <f>Raw_Data!K561</f>
        <v/>
      </c>
      <c r="L561" s="4">
        <f>IF(TRIM(Raw_Data!L561)="","No Coupon",TRIM(Raw_Data!L561))</f>
        <v/>
      </c>
      <c r="M561" s="4">
        <f>PROPER(TRIM(Raw_Data!M561))</f>
        <v/>
      </c>
      <c r="N561" s="6">
        <f>ROUND(Raw_Data!N561,2)</f>
        <v/>
      </c>
      <c r="O561" s="7">
        <f>IF(COUNTIF($A$2:$A$1201,A561)&gt;1,"DUPLICATE","Unique")</f>
        <v/>
      </c>
      <c r="P561" s="7">
        <f>IF(COUNTIF($J$2:$J$1201,J561)&gt;1,"DUPLICATE","Unique")</f>
        <v/>
      </c>
      <c r="Q561" s="4">
        <f>IF(TRIM(Raw_Data!L561)="","Yes","No")</f>
        <v/>
      </c>
      <c r="R561" s="4">
        <f>IF(ISNUMBER(B561),"Valid","INVALID")</f>
        <v/>
      </c>
    </row>
    <row r="562">
      <c r="A562" s="4">
        <f>TRIM(Raw_Data!A562)</f>
        <v/>
      </c>
      <c r="B562" s="5">
        <f>Raw_Data!B562</f>
        <v/>
      </c>
      <c r="C562" s="4">
        <f>TRIM(Raw_Data!C562)</f>
        <v/>
      </c>
      <c r="D562" s="4">
        <f>PROPER(TRIM(Raw_Data!D562))</f>
        <v/>
      </c>
      <c r="E562" s="4">
        <f>Raw_Data!E562</f>
        <v/>
      </c>
      <c r="F562" s="6">
        <f>ROUND(Raw_Data!F562,2)</f>
        <v/>
      </c>
      <c r="G562" s="4">
        <f>PROPER(TRIM(Raw_Data!G562))</f>
        <v/>
      </c>
      <c r="H562" s="4">
        <f>PROPER(TRIM(Raw_Data!H562))</f>
        <v/>
      </c>
      <c r="I562" s="4">
        <f>PROPER(TRIM(Raw_Data!I562))</f>
        <v/>
      </c>
      <c r="J562" s="4">
        <f>TRIM(Raw_Data!J562)</f>
        <v/>
      </c>
      <c r="K562" s="4">
        <f>Raw_Data!K562</f>
        <v/>
      </c>
      <c r="L562" s="4">
        <f>IF(TRIM(Raw_Data!L562)="","No Coupon",TRIM(Raw_Data!L562))</f>
        <v/>
      </c>
      <c r="M562" s="4">
        <f>PROPER(TRIM(Raw_Data!M562))</f>
        <v/>
      </c>
      <c r="N562" s="6">
        <f>ROUND(Raw_Data!N562,2)</f>
        <v/>
      </c>
      <c r="O562" s="7">
        <f>IF(COUNTIF($A$2:$A$1201,A562)&gt;1,"DUPLICATE","Unique")</f>
        <v/>
      </c>
      <c r="P562" s="7">
        <f>IF(COUNTIF($J$2:$J$1201,J562)&gt;1,"DUPLICATE","Unique")</f>
        <v/>
      </c>
      <c r="Q562" s="4">
        <f>IF(TRIM(Raw_Data!L562)="","Yes","No")</f>
        <v/>
      </c>
      <c r="R562" s="4">
        <f>IF(ISNUMBER(B562),"Valid","INVALID")</f>
        <v/>
      </c>
    </row>
    <row r="563">
      <c r="A563" s="4">
        <f>TRIM(Raw_Data!A563)</f>
        <v/>
      </c>
      <c r="B563" s="5">
        <f>Raw_Data!B563</f>
        <v/>
      </c>
      <c r="C563" s="4">
        <f>TRIM(Raw_Data!C563)</f>
        <v/>
      </c>
      <c r="D563" s="4">
        <f>PROPER(TRIM(Raw_Data!D563))</f>
        <v/>
      </c>
      <c r="E563" s="4">
        <f>Raw_Data!E563</f>
        <v/>
      </c>
      <c r="F563" s="6">
        <f>ROUND(Raw_Data!F563,2)</f>
        <v/>
      </c>
      <c r="G563" s="4">
        <f>PROPER(TRIM(Raw_Data!G563))</f>
        <v/>
      </c>
      <c r="H563" s="4">
        <f>PROPER(TRIM(Raw_Data!H563))</f>
        <v/>
      </c>
      <c r="I563" s="4">
        <f>PROPER(TRIM(Raw_Data!I563))</f>
        <v/>
      </c>
      <c r="J563" s="4">
        <f>TRIM(Raw_Data!J563)</f>
        <v/>
      </c>
      <c r="K563" s="4">
        <f>Raw_Data!K563</f>
        <v/>
      </c>
      <c r="L563" s="4">
        <f>IF(TRIM(Raw_Data!L563)="","No Coupon",TRIM(Raw_Data!L563))</f>
        <v/>
      </c>
      <c r="M563" s="4">
        <f>PROPER(TRIM(Raw_Data!M563))</f>
        <v/>
      </c>
      <c r="N563" s="6">
        <f>ROUND(Raw_Data!N563,2)</f>
        <v/>
      </c>
      <c r="O563" s="7">
        <f>IF(COUNTIF($A$2:$A$1201,A563)&gt;1,"DUPLICATE","Unique")</f>
        <v/>
      </c>
      <c r="P563" s="7">
        <f>IF(COUNTIF($J$2:$J$1201,J563)&gt;1,"DUPLICATE","Unique")</f>
        <v/>
      </c>
      <c r="Q563" s="4">
        <f>IF(TRIM(Raw_Data!L563)="","Yes","No")</f>
        <v/>
      </c>
      <c r="R563" s="4">
        <f>IF(ISNUMBER(B563),"Valid","INVALID")</f>
        <v/>
      </c>
    </row>
    <row r="564">
      <c r="A564" s="4">
        <f>TRIM(Raw_Data!A564)</f>
        <v/>
      </c>
      <c r="B564" s="5">
        <f>Raw_Data!B564</f>
        <v/>
      </c>
      <c r="C564" s="4">
        <f>TRIM(Raw_Data!C564)</f>
        <v/>
      </c>
      <c r="D564" s="4">
        <f>PROPER(TRIM(Raw_Data!D564))</f>
        <v/>
      </c>
      <c r="E564" s="4">
        <f>Raw_Data!E564</f>
        <v/>
      </c>
      <c r="F564" s="6">
        <f>ROUND(Raw_Data!F564,2)</f>
        <v/>
      </c>
      <c r="G564" s="4">
        <f>PROPER(TRIM(Raw_Data!G564))</f>
        <v/>
      </c>
      <c r="H564" s="4">
        <f>PROPER(TRIM(Raw_Data!H564))</f>
        <v/>
      </c>
      <c r="I564" s="4">
        <f>PROPER(TRIM(Raw_Data!I564))</f>
        <v/>
      </c>
      <c r="J564" s="4">
        <f>TRIM(Raw_Data!J564)</f>
        <v/>
      </c>
      <c r="K564" s="4">
        <f>Raw_Data!K564</f>
        <v/>
      </c>
      <c r="L564" s="4">
        <f>IF(TRIM(Raw_Data!L564)="","No Coupon",TRIM(Raw_Data!L564))</f>
        <v/>
      </c>
      <c r="M564" s="4">
        <f>PROPER(TRIM(Raw_Data!M564))</f>
        <v/>
      </c>
      <c r="N564" s="6">
        <f>ROUND(Raw_Data!N564,2)</f>
        <v/>
      </c>
      <c r="O564" s="7">
        <f>IF(COUNTIF($A$2:$A$1201,A564)&gt;1,"DUPLICATE","Unique")</f>
        <v/>
      </c>
      <c r="P564" s="7">
        <f>IF(COUNTIF($J$2:$J$1201,J564)&gt;1,"DUPLICATE","Unique")</f>
        <v/>
      </c>
      <c r="Q564" s="4">
        <f>IF(TRIM(Raw_Data!L564)="","Yes","No")</f>
        <v/>
      </c>
      <c r="R564" s="4">
        <f>IF(ISNUMBER(B564),"Valid","INVALID")</f>
        <v/>
      </c>
    </row>
    <row r="565">
      <c r="A565" s="4">
        <f>TRIM(Raw_Data!A565)</f>
        <v/>
      </c>
      <c r="B565" s="5">
        <f>Raw_Data!B565</f>
        <v/>
      </c>
      <c r="C565" s="4">
        <f>TRIM(Raw_Data!C565)</f>
        <v/>
      </c>
      <c r="D565" s="4">
        <f>PROPER(TRIM(Raw_Data!D565))</f>
        <v/>
      </c>
      <c r="E565" s="4">
        <f>Raw_Data!E565</f>
        <v/>
      </c>
      <c r="F565" s="6">
        <f>ROUND(Raw_Data!F565,2)</f>
        <v/>
      </c>
      <c r="G565" s="4">
        <f>PROPER(TRIM(Raw_Data!G565))</f>
        <v/>
      </c>
      <c r="H565" s="4">
        <f>PROPER(TRIM(Raw_Data!H565))</f>
        <v/>
      </c>
      <c r="I565" s="4">
        <f>PROPER(TRIM(Raw_Data!I565))</f>
        <v/>
      </c>
      <c r="J565" s="4">
        <f>TRIM(Raw_Data!J565)</f>
        <v/>
      </c>
      <c r="K565" s="4">
        <f>Raw_Data!K565</f>
        <v/>
      </c>
      <c r="L565" s="4">
        <f>IF(TRIM(Raw_Data!L565)="","No Coupon",TRIM(Raw_Data!L565))</f>
        <v/>
      </c>
      <c r="M565" s="4">
        <f>PROPER(TRIM(Raw_Data!M565))</f>
        <v/>
      </c>
      <c r="N565" s="6">
        <f>ROUND(Raw_Data!N565,2)</f>
        <v/>
      </c>
      <c r="O565" s="7">
        <f>IF(COUNTIF($A$2:$A$1201,A565)&gt;1,"DUPLICATE","Unique")</f>
        <v/>
      </c>
      <c r="P565" s="7">
        <f>IF(COUNTIF($J$2:$J$1201,J565)&gt;1,"DUPLICATE","Unique")</f>
        <v/>
      </c>
      <c r="Q565" s="4">
        <f>IF(TRIM(Raw_Data!L565)="","Yes","No")</f>
        <v/>
      </c>
      <c r="R565" s="4">
        <f>IF(ISNUMBER(B565),"Valid","INVALID")</f>
        <v/>
      </c>
    </row>
    <row r="566">
      <c r="A566" s="4">
        <f>TRIM(Raw_Data!A566)</f>
        <v/>
      </c>
      <c r="B566" s="5">
        <f>Raw_Data!B566</f>
        <v/>
      </c>
      <c r="C566" s="4">
        <f>TRIM(Raw_Data!C566)</f>
        <v/>
      </c>
      <c r="D566" s="4">
        <f>PROPER(TRIM(Raw_Data!D566))</f>
        <v/>
      </c>
      <c r="E566" s="4">
        <f>Raw_Data!E566</f>
        <v/>
      </c>
      <c r="F566" s="6">
        <f>ROUND(Raw_Data!F566,2)</f>
        <v/>
      </c>
      <c r="G566" s="4">
        <f>PROPER(TRIM(Raw_Data!G566))</f>
        <v/>
      </c>
      <c r="H566" s="4">
        <f>PROPER(TRIM(Raw_Data!H566))</f>
        <v/>
      </c>
      <c r="I566" s="4">
        <f>PROPER(TRIM(Raw_Data!I566))</f>
        <v/>
      </c>
      <c r="J566" s="4">
        <f>TRIM(Raw_Data!J566)</f>
        <v/>
      </c>
      <c r="K566" s="4">
        <f>Raw_Data!K566</f>
        <v/>
      </c>
      <c r="L566" s="4">
        <f>IF(TRIM(Raw_Data!L566)="","No Coupon",TRIM(Raw_Data!L566))</f>
        <v/>
      </c>
      <c r="M566" s="4">
        <f>PROPER(TRIM(Raw_Data!M566))</f>
        <v/>
      </c>
      <c r="N566" s="6">
        <f>ROUND(Raw_Data!N566,2)</f>
        <v/>
      </c>
      <c r="O566" s="7">
        <f>IF(COUNTIF($A$2:$A$1201,A566)&gt;1,"DUPLICATE","Unique")</f>
        <v/>
      </c>
      <c r="P566" s="7">
        <f>IF(COUNTIF($J$2:$J$1201,J566)&gt;1,"DUPLICATE","Unique")</f>
        <v/>
      </c>
      <c r="Q566" s="4">
        <f>IF(TRIM(Raw_Data!L566)="","Yes","No")</f>
        <v/>
      </c>
      <c r="R566" s="4">
        <f>IF(ISNUMBER(B566),"Valid","INVALID")</f>
        <v/>
      </c>
    </row>
    <row r="567">
      <c r="A567" s="4">
        <f>TRIM(Raw_Data!A567)</f>
        <v/>
      </c>
      <c r="B567" s="5">
        <f>Raw_Data!B567</f>
        <v/>
      </c>
      <c r="C567" s="4">
        <f>TRIM(Raw_Data!C567)</f>
        <v/>
      </c>
      <c r="D567" s="4">
        <f>PROPER(TRIM(Raw_Data!D567))</f>
        <v/>
      </c>
      <c r="E567" s="4">
        <f>Raw_Data!E567</f>
        <v/>
      </c>
      <c r="F567" s="6">
        <f>ROUND(Raw_Data!F567,2)</f>
        <v/>
      </c>
      <c r="G567" s="4">
        <f>PROPER(TRIM(Raw_Data!G567))</f>
        <v/>
      </c>
      <c r="H567" s="4">
        <f>PROPER(TRIM(Raw_Data!H567))</f>
        <v/>
      </c>
      <c r="I567" s="4">
        <f>PROPER(TRIM(Raw_Data!I567))</f>
        <v/>
      </c>
      <c r="J567" s="4">
        <f>TRIM(Raw_Data!J567)</f>
        <v/>
      </c>
      <c r="K567" s="4">
        <f>Raw_Data!K567</f>
        <v/>
      </c>
      <c r="L567" s="4">
        <f>IF(TRIM(Raw_Data!L567)="","No Coupon",TRIM(Raw_Data!L567))</f>
        <v/>
      </c>
      <c r="M567" s="4">
        <f>PROPER(TRIM(Raw_Data!M567))</f>
        <v/>
      </c>
      <c r="N567" s="6">
        <f>ROUND(Raw_Data!N567,2)</f>
        <v/>
      </c>
      <c r="O567" s="7">
        <f>IF(COUNTIF($A$2:$A$1201,A567)&gt;1,"DUPLICATE","Unique")</f>
        <v/>
      </c>
      <c r="P567" s="7">
        <f>IF(COUNTIF($J$2:$J$1201,J567)&gt;1,"DUPLICATE","Unique")</f>
        <v/>
      </c>
      <c r="Q567" s="4">
        <f>IF(TRIM(Raw_Data!L567)="","Yes","No")</f>
        <v/>
      </c>
      <c r="R567" s="4">
        <f>IF(ISNUMBER(B567),"Valid","INVALID")</f>
        <v/>
      </c>
    </row>
    <row r="568">
      <c r="A568" s="4">
        <f>TRIM(Raw_Data!A568)</f>
        <v/>
      </c>
      <c r="B568" s="5">
        <f>Raw_Data!B568</f>
        <v/>
      </c>
      <c r="C568" s="4">
        <f>TRIM(Raw_Data!C568)</f>
        <v/>
      </c>
      <c r="D568" s="4">
        <f>PROPER(TRIM(Raw_Data!D568))</f>
        <v/>
      </c>
      <c r="E568" s="4">
        <f>Raw_Data!E568</f>
        <v/>
      </c>
      <c r="F568" s="6">
        <f>ROUND(Raw_Data!F568,2)</f>
        <v/>
      </c>
      <c r="G568" s="4">
        <f>PROPER(TRIM(Raw_Data!G568))</f>
        <v/>
      </c>
      <c r="H568" s="4">
        <f>PROPER(TRIM(Raw_Data!H568))</f>
        <v/>
      </c>
      <c r="I568" s="4">
        <f>PROPER(TRIM(Raw_Data!I568))</f>
        <v/>
      </c>
      <c r="J568" s="4">
        <f>TRIM(Raw_Data!J568)</f>
        <v/>
      </c>
      <c r="K568" s="4">
        <f>Raw_Data!K568</f>
        <v/>
      </c>
      <c r="L568" s="4">
        <f>IF(TRIM(Raw_Data!L568)="","No Coupon",TRIM(Raw_Data!L568))</f>
        <v/>
      </c>
      <c r="M568" s="4">
        <f>PROPER(TRIM(Raw_Data!M568))</f>
        <v/>
      </c>
      <c r="N568" s="6">
        <f>ROUND(Raw_Data!N568,2)</f>
        <v/>
      </c>
      <c r="O568" s="7">
        <f>IF(COUNTIF($A$2:$A$1201,A568)&gt;1,"DUPLICATE","Unique")</f>
        <v/>
      </c>
      <c r="P568" s="7">
        <f>IF(COUNTIF($J$2:$J$1201,J568)&gt;1,"DUPLICATE","Unique")</f>
        <v/>
      </c>
      <c r="Q568" s="4">
        <f>IF(TRIM(Raw_Data!L568)="","Yes","No")</f>
        <v/>
      </c>
      <c r="R568" s="4">
        <f>IF(ISNUMBER(B568),"Valid","INVALID")</f>
        <v/>
      </c>
    </row>
    <row r="569">
      <c r="A569" s="4">
        <f>TRIM(Raw_Data!A569)</f>
        <v/>
      </c>
      <c r="B569" s="5">
        <f>Raw_Data!B569</f>
        <v/>
      </c>
      <c r="C569" s="4">
        <f>TRIM(Raw_Data!C569)</f>
        <v/>
      </c>
      <c r="D569" s="4">
        <f>PROPER(TRIM(Raw_Data!D569))</f>
        <v/>
      </c>
      <c r="E569" s="4">
        <f>Raw_Data!E569</f>
        <v/>
      </c>
      <c r="F569" s="6">
        <f>ROUND(Raw_Data!F569,2)</f>
        <v/>
      </c>
      <c r="G569" s="4">
        <f>PROPER(TRIM(Raw_Data!G569))</f>
        <v/>
      </c>
      <c r="H569" s="4">
        <f>PROPER(TRIM(Raw_Data!H569))</f>
        <v/>
      </c>
      <c r="I569" s="4">
        <f>PROPER(TRIM(Raw_Data!I569))</f>
        <v/>
      </c>
      <c r="J569" s="4">
        <f>TRIM(Raw_Data!J569)</f>
        <v/>
      </c>
      <c r="K569" s="4">
        <f>Raw_Data!K569</f>
        <v/>
      </c>
      <c r="L569" s="4">
        <f>IF(TRIM(Raw_Data!L569)="","No Coupon",TRIM(Raw_Data!L569))</f>
        <v/>
      </c>
      <c r="M569" s="4">
        <f>PROPER(TRIM(Raw_Data!M569))</f>
        <v/>
      </c>
      <c r="N569" s="6">
        <f>ROUND(Raw_Data!N569,2)</f>
        <v/>
      </c>
      <c r="O569" s="7">
        <f>IF(COUNTIF($A$2:$A$1201,A569)&gt;1,"DUPLICATE","Unique")</f>
        <v/>
      </c>
      <c r="P569" s="7">
        <f>IF(COUNTIF($J$2:$J$1201,J569)&gt;1,"DUPLICATE","Unique")</f>
        <v/>
      </c>
      <c r="Q569" s="4">
        <f>IF(TRIM(Raw_Data!L569)="","Yes","No")</f>
        <v/>
      </c>
      <c r="R569" s="4">
        <f>IF(ISNUMBER(B569),"Valid","INVALID")</f>
        <v/>
      </c>
    </row>
    <row r="570">
      <c r="A570" s="4">
        <f>TRIM(Raw_Data!A570)</f>
        <v/>
      </c>
      <c r="B570" s="5">
        <f>Raw_Data!B570</f>
        <v/>
      </c>
      <c r="C570" s="4">
        <f>TRIM(Raw_Data!C570)</f>
        <v/>
      </c>
      <c r="D570" s="4">
        <f>PROPER(TRIM(Raw_Data!D570))</f>
        <v/>
      </c>
      <c r="E570" s="4">
        <f>Raw_Data!E570</f>
        <v/>
      </c>
      <c r="F570" s="6">
        <f>ROUND(Raw_Data!F570,2)</f>
        <v/>
      </c>
      <c r="G570" s="4">
        <f>PROPER(TRIM(Raw_Data!G570))</f>
        <v/>
      </c>
      <c r="H570" s="4">
        <f>PROPER(TRIM(Raw_Data!H570))</f>
        <v/>
      </c>
      <c r="I570" s="4">
        <f>PROPER(TRIM(Raw_Data!I570))</f>
        <v/>
      </c>
      <c r="J570" s="4">
        <f>TRIM(Raw_Data!J570)</f>
        <v/>
      </c>
      <c r="K570" s="4">
        <f>Raw_Data!K570</f>
        <v/>
      </c>
      <c r="L570" s="4">
        <f>IF(TRIM(Raw_Data!L570)="","No Coupon",TRIM(Raw_Data!L570))</f>
        <v/>
      </c>
      <c r="M570" s="4">
        <f>PROPER(TRIM(Raw_Data!M570))</f>
        <v/>
      </c>
      <c r="N570" s="6">
        <f>ROUND(Raw_Data!N570,2)</f>
        <v/>
      </c>
      <c r="O570" s="7">
        <f>IF(COUNTIF($A$2:$A$1201,A570)&gt;1,"DUPLICATE","Unique")</f>
        <v/>
      </c>
      <c r="P570" s="7">
        <f>IF(COUNTIF($J$2:$J$1201,J570)&gt;1,"DUPLICATE","Unique")</f>
        <v/>
      </c>
      <c r="Q570" s="4">
        <f>IF(TRIM(Raw_Data!L570)="","Yes","No")</f>
        <v/>
      </c>
      <c r="R570" s="4">
        <f>IF(ISNUMBER(B570),"Valid","INVALID")</f>
        <v/>
      </c>
    </row>
    <row r="571">
      <c r="A571" s="4">
        <f>TRIM(Raw_Data!A571)</f>
        <v/>
      </c>
      <c r="B571" s="5">
        <f>Raw_Data!B571</f>
        <v/>
      </c>
      <c r="C571" s="4">
        <f>TRIM(Raw_Data!C571)</f>
        <v/>
      </c>
      <c r="D571" s="4">
        <f>PROPER(TRIM(Raw_Data!D571))</f>
        <v/>
      </c>
      <c r="E571" s="4">
        <f>Raw_Data!E571</f>
        <v/>
      </c>
      <c r="F571" s="6">
        <f>ROUND(Raw_Data!F571,2)</f>
        <v/>
      </c>
      <c r="G571" s="4">
        <f>PROPER(TRIM(Raw_Data!G571))</f>
        <v/>
      </c>
      <c r="H571" s="4">
        <f>PROPER(TRIM(Raw_Data!H571))</f>
        <v/>
      </c>
      <c r="I571" s="4">
        <f>PROPER(TRIM(Raw_Data!I571))</f>
        <v/>
      </c>
      <c r="J571" s="4">
        <f>TRIM(Raw_Data!J571)</f>
        <v/>
      </c>
      <c r="K571" s="4">
        <f>Raw_Data!K571</f>
        <v/>
      </c>
      <c r="L571" s="4">
        <f>IF(TRIM(Raw_Data!L571)="","No Coupon",TRIM(Raw_Data!L571))</f>
        <v/>
      </c>
      <c r="M571" s="4">
        <f>PROPER(TRIM(Raw_Data!M571))</f>
        <v/>
      </c>
      <c r="N571" s="6">
        <f>ROUND(Raw_Data!N571,2)</f>
        <v/>
      </c>
      <c r="O571" s="7">
        <f>IF(COUNTIF($A$2:$A$1201,A571)&gt;1,"DUPLICATE","Unique")</f>
        <v/>
      </c>
      <c r="P571" s="7">
        <f>IF(COUNTIF($J$2:$J$1201,J571)&gt;1,"DUPLICATE","Unique")</f>
        <v/>
      </c>
      <c r="Q571" s="4">
        <f>IF(TRIM(Raw_Data!L571)="","Yes","No")</f>
        <v/>
      </c>
      <c r="R571" s="4">
        <f>IF(ISNUMBER(B571),"Valid","INVALID")</f>
        <v/>
      </c>
    </row>
    <row r="572">
      <c r="A572" s="4">
        <f>TRIM(Raw_Data!A572)</f>
        <v/>
      </c>
      <c r="B572" s="5">
        <f>Raw_Data!B572</f>
        <v/>
      </c>
      <c r="C572" s="4">
        <f>TRIM(Raw_Data!C572)</f>
        <v/>
      </c>
      <c r="D572" s="4">
        <f>PROPER(TRIM(Raw_Data!D572))</f>
        <v/>
      </c>
      <c r="E572" s="4">
        <f>Raw_Data!E572</f>
        <v/>
      </c>
      <c r="F572" s="6">
        <f>ROUND(Raw_Data!F572,2)</f>
        <v/>
      </c>
      <c r="G572" s="4">
        <f>PROPER(TRIM(Raw_Data!G572))</f>
        <v/>
      </c>
      <c r="H572" s="4">
        <f>PROPER(TRIM(Raw_Data!H572))</f>
        <v/>
      </c>
      <c r="I572" s="4">
        <f>PROPER(TRIM(Raw_Data!I572))</f>
        <v/>
      </c>
      <c r="J572" s="4">
        <f>TRIM(Raw_Data!J572)</f>
        <v/>
      </c>
      <c r="K572" s="4">
        <f>Raw_Data!K572</f>
        <v/>
      </c>
      <c r="L572" s="4">
        <f>IF(TRIM(Raw_Data!L572)="","No Coupon",TRIM(Raw_Data!L572))</f>
        <v/>
      </c>
      <c r="M572" s="4">
        <f>PROPER(TRIM(Raw_Data!M572))</f>
        <v/>
      </c>
      <c r="N572" s="6">
        <f>ROUND(Raw_Data!N572,2)</f>
        <v/>
      </c>
      <c r="O572" s="7">
        <f>IF(COUNTIF($A$2:$A$1201,A572)&gt;1,"DUPLICATE","Unique")</f>
        <v/>
      </c>
      <c r="P572" s="7">
        <f>IF(COUNTIF($J$2:$J$1201,J572)&gt;1,"DUPLICATE","Unique")</f>
        <v/>
      </c>
      <c r="Q572" s="4">
        <f>IF(TRIM(Raw_Data!L572)="","Yes","No")</f>
        <v/>
      </c>
      <c r="R572" s="4">
        <f>IF(ISNUMBER(B572),"Valid","INVALID")</f>
        <v/>
      </c>
    </row>
    <row r="573">
      <c r="A573" s="4">
        <f>TRIM(Raw_Data!A573)</f>
        <v/>
      </c>
      <c r="B573" s="5">
        <f>Raw_Data!B573</f>
        <v/>
      </c>
      <c r="C573" s="4">
        <f>TRIM(Raw_Data!C573)</f>
        <v/>
      </c>
      <c r="D573" s="4">
        <f>PROPER(TRIM(Raw_Data!D573))</f>
        <v/>
      </c>
      <c r="E573" s="4">
        <f>Raw_Data!E573</f>
        <v/>
      </c>
      <c r="F573" s="6">
        <f>ROUND(Raw_Data!F573,2)</f>
        <v/>
      </c>
      <c r="G573" s="4">
        <f>PROPER(TRIM(Raw_Data!G573))</f>
        <v/>
      </c>
      <c r="H573" s="4">
        <f>PROPER(TRIM(Raw_Data!H573))</f>
        <v/>
      </c>
      <c r="I573" s="4">
        <f>PROPER(TRIM(Raw_Data!I573))</f>
        <v/>
      </c>
      <c r="J573" s="4">
        <f>TRIM(Raw_Data!J573)</f>
        <v/>
      </c>
      <c r="K573" s="4">
        <f>Raw_Data!K573</f>
        <v/>
      </c>
      <c r="L573" s="4">
        <f>IF(TRIM(Raw_Data!L573)="","No Coupon",TRIM(Raw_Data!L573))</f>
        <v/>
      </c>
      <c r="M573" s="4">
        <f>PROPER(TRIM(Raw_Data!M573))</f>
        <v/>
      </c>
      <c r="N573" s="6">
        <f>ROUND(Raw_Data!N573,2)</f>
        <v/>
      </c>
      <c r="O573" s="7">
        <f>IF(COUNTIF($A$2:$A$1201,A573)&gt;1,"DUPLICATE","Unique")</f>
        <v/>
      </c>
      <c r="P573" s="7">
        <f>IF(COUNTIF($J$2:$J$1201,J573)&gt;1,"DUPLICATE","Unique")</f>
        <v/>
      </c>
      <c r="Q573" s="4">
        <f>IF(TRIM(Raw_Data!L573)="","Yes","No")</f>
        <v/>
      </c>
      <c r="R573" s="4">
        <f>IF(ISNUMBER(B573),"Valid","INVALID")</f>
        <v/>
      </c>
    </row>
    <row r="574">
      <c r="A574" s="4">
        <f>TRIM(Raw_Data!A574)</f>
        <v/>
      </c>
      <c r="B574" s="5">
        <f>Raw_Data!B574</f>
        <v/>
      </c>
      <c r="C574" s="4">
        <f>TRIM(Raw_Data!C574)</f>
        <v/>
      </c>
      <c r="D574" s="4">
        <f>PROPER(TRIM(Raw_Data!D574))</f>
        <v/>
      </c>
      <c r="E574" s="4">
        <f>Raw_Data!E574</f>
        <v/>
      </c>
      <c r="F574" s="6">
        <f>ROUND(Raw_Data!F574,2)</f>
        <v/>
      </c>
      <c r="G574" s="4">
        <f>PROPER(TRIM(Raw_Data!G574))</f>
        <v/>
      </c>
      <c r="H574" s="4">
        <f>PROPER(TRIM(Raw_Data!H574))</f>
        <v/>
      </c>
      <c r="I574" s="4">
        <f>PROPER(TRIM(Raw_Data!I574))</f>
        <v/>
      </c>
      <c r="J574" s="4">
        <f>TRIM(Raw_Data!J574)</f>
        <v/>
      </c>
      <c r="K574" s="4">
        <f>Raw_Data!K574</f>
        <v/>
      </c>
      <c r="L574" s="4">
        <f>IF(TRIM(Raw_Data!L574)="","No Coupon",TRIM(Raw_Data!L574))</f>
        <v/>
      </c>
      <c r="M574" s="4">
        <f>PROPER(TRIM(Raw_Data!M574))</f>
        <v/>
      </c>
      <c r="N574" s="6">
        <f>ROUND(Raw_Data!N574,2)</f>
        <v/>
      </c>
      <c r="O574" s="7">
        <f>IF(COUNTIF($A$2:$A$1201,A574)&gt;1,"DUPLICATE","Unique")</f>
        <v/>
      </c>
      <c r="P574" s="7">
        <f>IF(COUNTIF($J$2:$J$1201,J574)&gt;1,"DUPLICATE","Unique")</f>
        <v/>
      </c>
      <c r="Q574" s="4">
        <f>IF(TRIM(Raw_Data!L574)="","Yes","No")</f>
        <v/>
      </c>
      <c r="R574" s="4">
        <f>IF(ISNUMBER(B574),"Valid","INVALID")</f>
        <v/>
      </c>
    </row>
    <row r="575">
      <c r="A575" s="4">
        <f>TRIM(Raw_Data!A575)</f>
        <v/>
      </c>
      <c r="B575" s="5">
        <f>Raw_Data!B575</f>
        <v/>
      </c>
      <c r="C575" s="4">
        <f>TRIM(Raw_Data!C575)</f>
        <v/>
      </c>
      <c r="D575" s="4">
        <f>PROPER(TRIM(Raw_Data!D575))</f>
        <v/>
      </c>
      <c r="E575" s="4">
        <f>Raw_Data!E575</f>
        <v/>
      </c>
      <c r="F575" s="6">
        <f>ROUND(Raw_Data!F575,2)</f>
        <v/>
      </c>
      <c r="G575" s="4">
        <f>PROPER(TRIM(Raw_Data!G575))</f>
        <v/>
      </c>
      <c r="H575" s="4">
        <f>PROPER(TRIM(Raw_Data!H575))</f>
        <v/>
      </c>
      <c r="I575" s="4">
        <f>PROPER(TRIM(Raw_Data!I575))</f>
        <v/>
      </c>
      <c r="J575" s="4">
        <f>TRIM(Raw_Data!J575)</f>
        <v/>
      </c>
      <c r="K575" s="4">
        <f>Raw_Data!K575</f>
        <v/>
      </c>
      <c r="L575" s="4">
        <f>IF(TRIM(Raw_Data!L575)="","No Coupon",TRIM(Raw_Data!L575))</f>
        <v/>
      </c>
      <c r="M575" s="4">
        <f>PROPER(TRIM(Raw_Data!M575))</f>
        <v/>
      </c>
      <c r="N575" s="6">
        <f>ROUND(Raw_Data!N575,2)</f>
        <v/>
      </c>
      <c r="O575" s="7">
        <f>IF(COUNTIF($A$2:$A$1201,A575)&gt;1,"DUPLICATE","Unique")</f>
        <v/>
      </c>
      <c r="P575" s="7">
        <f>IF(COUNTIF($J$2:$J$1201,J575)&gt;1,"DUPLICATE","Unique")</f>
        <v/>
      </c>
      <c r="Q575" s="4">
        <f>IF(TRIM(Raw_Data!L575)="","Yes","No")</f>
        <v/>
      </c>
      <c r="R575" s="4">
        <f>IF(ISNUMBER(B575),"Valid","INVALID")</f>
        <v/>
      </c>
    </row>
    <row r="576">
      <c r="A576" s="4">
        <f>TRIM(Raw_Data!A576)</f>
        <v/>
      </c>
      <c r="B576" s="5">
        <f>Raw_Data!B576</f>
        <v/>
      </c>
      <c r="C576" s="4">
        <f>TRIM(Raw_Data!C576)</f>
        <v/>
      </c>
      <c r="D576" s="4">
        <f>PROPER(TRIM(Raw_Data!D576))</f>
        <v/>
      </c>
      <c r="E576" s="4">
        <f>Raw_Data!E576</f>
        <v/>
      </c>
      <c r="F576" s="6">
        <f>ROUND(Raw_Data!F576,2)</f>
        <v/>
      </c>
      <c r="G576" s="4">
        <f>PROPER(TRIM(Raw_Data!G576))</f>
        <v/>
      </c>
      <c r="H576" s="4">
        <f>PROPER(TRIM(Raw_Data!H576))</f>
        <v/>
      </c>
      <c r="I576" s="4">
        <f>PROPER(TRIM(Raw_Data!I576))</f>
        <v/>
      </c>
      <c r="J576" s="4">
        <f>TRIM(Raw_Data!J576)</f>
        <v/>
      </c>
      <c r="K576" s="4">
        <f>Raw_Data!K576</f>
        <v/>
      </c>
      <c r="L576" s="4">
        <f>IF(TRIM(Raw_Data!L576)="","No Coupon",TRIM(Raw_Data!L576))</f>
        <v/>
      </c>
      <c r="M576" s="4">
        <f>PROPER(TRIM(Raw_Data!M576))</f>
        <v/>
      </c>
      <c r="N576" s="6">
        <f>ROUND(Raw_Data!N576,2)</f>
        <v/>
      </c>
      <c r="O576" s="7">
        <f>IF(COUNTIF($A$2:$A$1201,A576)&gt;1,"DUPLICATE","Unique")</f>
        <v/>
      </c>
      <c r="P576" s="7">
        <f>IF(COUNTIF($J$2:$J$1201,J576)&gt;1,"DUPLICATE","Unique")</f>
        <v/>
      </c>
      <c r="Q576" s="4">
        <f>IF(TRIM(Raw_Data!L576)="","Yes","No")</f>
        <v/>
      </c>
      <c r="R576" s="4">
        <f>IF(ISNUMBER(B576),"Valid","INVALID")</f>
        <v/>
      </c>
    </row>
    <row r="577">
      <c r="A577" s="4">
        <f>TRIM(Raw_Data!A577)</f>
        <v/>
      </c>
      <c r="B577" s="5">
        <f>Raw_Data!B577</f>
        <v/>
      </c>
      <c r="C577" s="4">
        <f>TRIM(Raw_Data!C577)</f>
        <v/>
      </c>
      <c r="D577" s="4">
        <f>PROPER(TRIM(Raw_Data!D577))</f>
        <v/>
      </c>
      <c r="E577" s="4">
        <f>Raw_Data!E577</f>
        <v/>
      </c>
      <c r="F577" s="6">
        <f>ROUND(Raw_Data!F577,2)</f>
        <v/>
      </c>
      <c r="G577" s="4">
        <f>PROPER(TRIM(Raw_Data!G577))</f>
        <v/>
      </c>
      <c r="H577" s="4">
        <f>PROPER(TRIM(Raw_Data!H577))</f>
        <v/>
      </c>
      <c r="I577" s="4">
        <f>PROPER(TRIM(Raw_Data!I577))</f>
        <v/>
      </c>
      <c r="J577" s="4">
        <f>TRIM(Raw_Data!J577)</f>
        <v/>
      </c>
      <c r="K577" s="4">
        <f>Raw_Data!K577</f>
        <v/>
      </c>
      <c r="L577" s="4">
        <f>IF(TRIM(Raw_Data!L577)="","No Coupon",TRIM(Raw_Data!L577))</f>
        <v/>
      </c>
      <c r="M577" s="4">
        <f>PROPER(TRIM(Raw_Data!M577))</f>
        <v/>
      </c>
      <c r="N577" s="6">
        <f>ROUND(Raw_Data!N577,2)</f>
        <v/>
      </c>
      <c r="O577" s="7">
        <f>IF(COUNTIF($A$2:$A$1201,A577)&gt;1,"DUPLICATE","Unique")</f>
        <v/>
      </c>
      <c r="P577" s="7">
        <f>IF(COUNTIF($J$2:$J$1201,J577)&gt;1,"DUPLICATE","Unique")</f>
        <v/>
      </c>
      <c r="Q577" s="4">
        <f>IF(TRIM(Raw_Data!L577)="","Yes","No")</f>
        <v/>
      </c>
      <c r="R577" s="4">
        <f>IF(ISNUMBER(B577),"Valid","INVALID")</f>
        <v/>
      </c>
    </row>
    <row r="578">
      <c r="A578" s="4">
        <f>TRIM(Raw_Data!A578)</f>
        <v/>
      </c>
      <c r="B578" s="5">
        <f>Raw_Data!B578</f>
        <v/>
      </c>
      <c r="C578" s="4">
        <f>TRIM(Raw_Data!C578)</f>
        <v/>
      </c>
      <c r="D578" s="4">
        <f>PROPER(TRIM(Raw_Data!D578))</f>
        <v/>
      </c>
      <c r="E578" s="4">
        <f>Raw_Data!E578</f>
        <v/>
      </c>
      <c r="F578" s="6">
        <f>ROUND(Raw_Data!F578,2)</f>
        <v/>
      </c>
      <c r="G578" s="4">
        <f>PROPER(TRIM(Raw_Data!G578))</f>
        <v/>
      </c>
      <c r="H578" s="4">
        <f>PROPER(TRIM(Raw_Data!H578))</f>
        <v/>
      </c>
      <c r="I578" s="4">
        <f>PROPER(TRIM(Raw_Data!I578))</f>
        <v/>
      </c>
      <c r="J578" s="4">
        <f>TRIM(Raw_Data!J578)</f>
        <v/>
      </c>
      <c r="K578" s="4">
        <f>Raw_Data!K578</f>
        <v/>
      </c>
      <c r="L578" s="4">
        <f>IF(TRIM(Raw_Data!L578)="","No Coupon",TRIM(Raw_Data!L578))</f>
        <v/>
      </c>
      <c r="M578" s="4">
        <f>PROPER(TRIM(Raw_Data!M578))</f>
        <v/>
      </c>
      <c r="N578" s="6">
        <f>ROUND(Raw_Data!N578,2)</f>
        <v/>
      </c>
      <c r="O578" s="7">
        <f>IF(COUNTIF($A$2:$A$1201,A578)&gt;1,"DUPLICATE","Unique")</f>
        <v/>
      </c>
      <c r="P578" s="7">
        <f>IF(COUNTIF($J$2:$J$1201,J578)&gt;1,"DUPLICATE","Unique")</f>
        <v/>
      </c>
      <c r="Q578" s="4">
        <f>IF(TRIM(Raw_Data!L578)="","Yes","No")</f>
        <v/>
      </c>
      <c r="R578" s="4">
        <f>IF(ISNUMBER(B578),"Valid","INVALID")</f>
        <v/>
      </c>
    </row>
    <row r="579">
      <c r="A579" s="4">
        <f>TRIM(Raw_Data!A579)</f>
        <v/>
      </c>
      <c r="B579" s="5">
        <f>Raw_Data!B579</f>
        <v/>
      </c>
      <c r="C579" s="4">
        <f>TRIM(Raw_Data!C579)</f>
        <v/>
      </c>
      <c r="D579" s="4">
        <f>PROPER(TRIM(Raw_Data!D579))</f>
        <v/>
      </c>
      <c r="E579" s="4">
        <f>Raw_Data!E579</f>
        <v/>
      </c>
      <c r="F579" s="6">
        <f>ROUND(Raw_Data!F579,2)</f>
        <v/>
      </c>
      <c r="G579" s="4">
        <f>PROPER(TRIM(Raw_Data!G579))</f>
        <v/>
      </c>
      <c r="H579" s="4">
        <f>PROPER(TRIM(Raw_Data!H579))</f>
        <v/>
      </c>
      <c r="I579" s="4">
        <f>PROPER(TRIM(Raw_Data!I579))</f>
        <v/>
      </c>
      <c r="J579" s="4">
        <f>TRIM(Raw_Data!J579)</f>
        <v/>
      </c>
      <c r="K579" s="4">
        <f>Raw_Data!K579</f>
        <v/>
      </c>
      <c r="L579" s="4">
        <f>IF(TRIM(Raw_Data!L579)="","No Coupon",TRIM(Raw_Data!L579))</f>
        <v/>
      </c>
      <c r="M579" s="4">
        <f>PROPER(TRIM(Raw_Data!M579))</f>
        <v/>
      </c>
      <c r="N579" s="6">
        <f>ROUND(Raw_Data!N579,2)</f>
        <v/>
      </c>
      <c r="O579" s="7">
        <f>IF(COUNTIF($A$2:$A$1201,A579)&gt;1,"DUPLICATE","Unique")</f>
        <v/>
      </c>
      <c r="P579" s="7">
        <f>IF(COUNTIF($J$2:$J$1201,J579)&gt;1,"DUPLICATE","Unique")</f>
        <v/>
      </c>
      <c r="Q579" s="4">
        <f>IF(TRIM(Raw_Data!L579)="","Yes","No")</f>
        <v/>
      </c>
      <c r="R579" s="4">
        <f>IF(ISNUMBER(B579),"Valid","INVALID")</f>
        <v/>
      </c>
    </row>
    <row r="580">
      <c r="A580" s="4">
        <f>TRIM(Raw_Data!A580)</f>
        <v/>
      </c>
      <c r="B580" s="5">
        <f>Raw_Data!B580</f>
        <v/>
      </c>
      <c r="C580" s="4">
        <f>TRIM(Raw_Data!C580)</f>
        <v/>
      </c>
      <c r="D580" s="4">
        <f>PROPER(TRIM(Raw_Data!D580))</f>
        <v/>
      </c>
      <c r="E580" s="4">
        <f>Raw_Data!E580</f>
        <v/>
      </c>
      <c r="F580" s="6">
        <f>ROUND(Raw_Data!F580,2)</f>
        <v/>
      </c>
      <c r="G580" s="4">
        <f>PROPER(TRIM(Raw_Data!G580))</f>
        <v/>
      </c>
      <c r="H580" s="4">
        <f>PROPER(TRIM(Raw_Data!H580))</f>
        <v/>
      </c>
      <c r="I580" s="4">
        <f>PROPER(TRIM(Raw_Data!I580))</f>
        <v/>
      </c>
      <c r="J580" s="4">
        <f>TRIM(Raw_Data!J580)</f>
        <v/>
      </c>
      <c r="K580" s="4">
        <f>Raw_Data!K580</f>
        <v/>
      </c>
      <c r="L580" s="4">
        <f>IF(TRIM(Raw_Data!L580)="","No Coupon",TRIM(Raw_Data!L580))</f>
        <v/>
      </c>
      <c r="M580" s="4">
        <f>PROPER(TRIM(Raw_Data!M580))</f>
        <v/>
      </c>
      <c r="N580" s="6">
        <f>ROUND(Raw_Data!N580,2)</f>
        <v/>
      </c>
      <c r="O580" s="7">
        <f>IF(COUNTIF($A$2:$A$1201,A580)&gt;1,"DUPLICATE","Unique")</f>
        <v/>
      </c>
      <c r="P580" s="7">
        <f>IF(COUNTIF($J$2:$J$1201,J580)&gt;1,"DUPLICATE","Unique")</f>
        <v/>
      </c>
      <c r="Q580" s="4">
        <f>IF(TRIM(Raw_Data!L580)="","Yes","No")</f>
        <v/>
      </c>
      <c r="R580" s="4">
        <f>IF(ISNUMBER(B580),"Valid","INVALID")</f>
        <v/>
      </c>
    </row>
    <row r="581">
      <c r="A581" s="4">
        <f>TRIM(Raw_Data!A581)</f>
        <v/>
      </c>
      <c r="B581" s="5">
        <f>Raw_Data!B581</f>
        <v/>
      </c>
      <c r="C581" s="4">
        <f>TRIM(Raw_Data!C581)</f>
        <v/>
      </c>
      <c r="D581" s="4">
        <f>PROPER(TRIM(Raw_Data!D581))</f>
        <v/>
      </c>
      <c r="E581" s="4">
        <f>Raw_Data!E581</f>
        <v/>
      </c>
      <c r="F581" s="6">
        <f>ROUND(Raw_Data!F581,2)</f>
        <v/>
      </c>
      <c r="G581" s="4">
        <f>PROPER(TRIM(Raw_Data!G581))</f>
        <v/>
      </c>
      <c r="H581" s="4">
        <f>PROPER(TRIM(Raw_Data!H581))</f>
        <v/>
      </c>
      <c r="I581" s="4">
        <f>PROPER(TRIM(Raw_Data!I581))</f>
        <v/>
      </c>
      <c r="J581" s="4">
        <f>TRIM(Raw_Data!J581)</f>
        <v/>
      </c>
      <c r="K581" s="4">
        <f>Raw_Data!K581</f>
        <v/>
      </c>
      <c r="L581" s="4">
        <f>IF(TRIM(Raw_Data!L581)="","No Coupon",TRIM(Raw_Data!L581))</f>
        <v/>
      </c>
      <c r="M581" s="4">
        <f>PROPER(TRIM(Raw_Data!M581))</f>
        <v/>
      </c>
      <c r="N581" s="6">
        <f>ROUND(Raw_Data!N581,2)</f>
        <v/>
      </c>
      <c r="O581" s="7">
        <f>IF(COUNTIF($A$2:$A$1201,A581)&gt;1,"DUPLICATE","Unique")</f>
        <v/>
      </c>
      <c r="P581" s="7">
        <f>IF(COUNTIF($J$2:$J$1201,J581)&gt;1,"DUPLICATE","Unique")</f>
        <v/>
      </c>
      <c r="Q581" s="4">
        <f>IF(TRIM(Raw_Data!L581)="","Yes","No")</f>
        <v/>
      </c>
      <c r="R581" s="4">
        <f>IF(ISNUMBER(B581),"Valid","INVALID")</f>
        <v/>
      </c>
    </row>
    <row r="582">
      <c r="A582" s="4">
        <f>TRIM(Raw_Data!A582)</f>
        <v/>
      </c>
      <c r="B582" s="5">
        <f>Raw_Data!B582</f>
        <v/>
      </c>
      <c r="C582" s="4">
        <f>TRIM(Raw_Data!C582)</f>
        <v/>
      </c>
      <c r="D582" s="4">
        <f>PROPER(TRIM(Raw_Data!D582))</f>
        <v/>
      </c>
      <c r="E582" s="4">
        <f>Raw_Data!E582</f>
        <v/>
      </c>
      <c r="F582" s="6">
        <f>ROUND(Raw_Data!F582,2)</f>
        <v/>
      </c>
      <c r="G582" s="4">
        <f>PROPER(TRIM(Raw_Data!G582))</f>
        <v/>
      </c>
      <c r="H582" s="4">
        <f>PROPER(TRIM(Raw_Data!H582))</f>
        <v/>
      </c>
      <c r="I582" s="4">
        <f>PROPER(TRIM(Raw_Data!I582))</f>
        <v/>
      </c>
      <c r="J582" s="4">
        <f>TRIM(Raw_Data!J582)</f>
        <v/>
      </c>
      <c r="K582" s="4">
        <f>Raw_Data!K582</f>
        <v/>
      </c>
      <c r="L582" s="4">
        <f>IF(TRIM(Raw_Data!L582)="","No Coupon",TRIM(Raw_Data!L582))</f>
        <v/>
      </c>
      <c r="M582" s="4">
        <f>PROPER(TRIM(Raw_Data!M582))</f>
        <v/>
      </c>
      <c r="N582" s="6">
        <f>ROUND(Raw_Data!N582,2)</f>
        <v/>
      </c>
      <c r="O582" s="7">
        <f>IF(COUNTIF($A$2:$A$1201,A582)&gt;1,"DUPLICATE","Unique")</f>
        <v/>
      </c>
      <c r="P582" s="7">
        <f>IF(COUNTIF($J$2:$J$1201,J582)&gt;1,"DUPLICATE","Unique")</f>
        <v/>
      </c>
      <c r="Q582" s="4">
        <f>IF(TRIM(Raw_Data!L582)="","Yes","No")</f>
        <v/>
      </c>
      <c r="R582" s="4">
        <f>IF(ISNUMBER(B582),"Valid","INVALID")</f>
        <v/>
      </c>
    </row>
    <row r="583">
      <c r="A583" s="4">
        <f>TRIM(Raw_Data!A583)</f>
        <v/>
      </c>
      <c r="B583" s="5">
        <f>Raw_Data!B583</f>
        <v/>
      </c>
      <c r="C583" s="4">
        <f>TRIM(Raw_Data!C583)</f>
        <v/>
      </c>
      <c r="D583" s="4">
        <f>PROPER(TRIM(Raw_Data!D583))</f>
        <v/>
      </c>
      <c r="E583" s="4">
        <f>Raw_Data!E583</f>
        <v/>
      </c>
      <c r="F583" s="6">
        <f>ROUND(Raw_Data!F583,2)</f>
        <v/>
      </c>
      <c r="G583" s="4">
        <f>PROPER(TRIM(Raw_Data!G583))</f>
        <v/>
      </c>
      <c r="H583" s="4">
        <f>PROPER(TRIM(Raw_Data!H583))</f>
        <v/>
      </c>
      <c r="I583" s="4">
        <f>PROPER(TRIM(Raw_Data!I583))</f>
        <v/>
      </c>
      <c r="J583" s="4">
        <f>TRIM(Raw_Data!J583)</f>
        <v/>
      </c>
      <c r="K583" s="4">
        <f>Raw_Data!K583</f>
        <v/>
      </c>
      <c r="L583" s="4">
        <f>IF(TRIM(Raw_Data!L583)="","No Coupon",TRIM(Raw_Data!L583))</f>
        <v/>
      </c>
      <c r="M583" s="4">
        <f>PROPER(TRIM(Raw_Data!M583))</f>
        <v/>
      </c>
      <c r="N583" s="6">
        <f>ROUND(Raw_Data!N583,2)</f>
        <v/>
      </c>
      <c r="O583" s="7">
        <f>IF(COUNTIF($A$2:$A$1201,A583)&gt;1,"DUPLICATE","Unique")</f>
        <v/>
      </c>
      <c r="P583" s="7">
        <f>IF(COUNTIF($J$2:$J$1201,J583)&gt;1,"DUPLICATE","Unique")</f>
        <v/>
      </c>
      <c r="Q583" s="4">
        <f>IF(TRIM(Raw_Data!L583)="","Yes","No")</f>
        <v/>
      </c>
      <c r="R583" s="4">
        <f>IF(ISNUMBER(B583),"Valid","INVALID")</f>
        <v/>
      </c>
    </row>
    <row r="584">
      <c r="A584" s="4">
        <f>TRIM(Raw_Data!A584)</f>
        <v/>
      </c>
      <c r="B584" s="5">
        <f>Raw_Data!B584</f>
        <v/>
      </c>
      <c r="C584" s="4">
        <f>TRIM(Raw_Data!C584)</f>
        <v/>
      </c>
      <c r="D584" s="4">
        <f>PROPER(TRIM(Raw_Data!D584))</f>
        <v/>
      </c>
      <c r="E584" s="4">
        <f>Raw_Data!E584</f>
        <v/>
      </c>
      <c r="F584" s="6">
        <f>ROUND(Raw_Data!F584,2)</f>
        <v/>
      </c>
      <c r="G584" s="4">
        <f>PROPER(TRIM(Raw_Data!G584))</f>
        <v/>
      </c>
      <c r="H584" s="4">
        <f>PROPER(TRIM(Raw_Data!H584))</f>
        <v/>
      </c>
      <c r="I584" s="4">
        <f>PROPER(TRIM(Raw_Data!I584))</f>
        <v/>
      </c>
      <c r="J584" s="4">
        <f>TRIM(Raw_Data!J584)</f>
        <v/>
      </c>
      <c r="K584" s="4">
        <f>Raw_Data!K584</f>
        <v/>
      </c>
      <c r="L584" s="4">
        <f>IF(TRIM(Raw_Data!L584)="","No Coupon",TRIM(Raw_Data!L584))</f>
        <v/>
      </c>
      <c r="M584" s="4">
        <f>PROPER(TRIM(Raw_Data!M584))</f>
        <v/>
      </c>
      <c r="N584" s="6">
        <f>ROUND(Raw_Data!N584,2)</f>
        <v/>
      </c>
      <c r="O584" s="7">
        <f>IF(COUNTIF($A$2:$A$1201,A584)&gt;1,"DUPLICATE","Unique")</f>
        <v/>
      </c>
      <c r="P584" s="7">
        <f>IF(COUNTIF($J$2:$J$1201,J584)&gt;1,"DUPLICATE","Unique")</f>
        <v/>
      </c>
      <c r="Q584" s="4">
        <f>IF(TRIM(Raw_Data!L584)="","Yes","No")</f>
        <v/>
      </c>
      <c r="R584" s="4">
        <f>IF(ISNUMBER(B584),"Valid","INVALID")</f>
        <v/>
      </c>
    </row>
    <row r="585">
      <c r="A585" s="4">
        <f>TRIM(Raw_Data!A585)</f>
        <v/>
      </c>
      <c r="B585" s="5">
        <f>Raw_Data!B585</f>
        <v/>
      </c>
      <c r="C585" s="4">
        <f>TRIM(Raw_Data!C585)</f>
        <v/>
      </c>
      <c r="D585" s="4">
        <f>PROPER(TRIM(Raw_Data!D585))</f>
        <v/>
      </c>
      <c r="E585" s="4">
        <f>Raw_Data!E585</f>
        <v/>
      </c>
      <c r="F585" s="6">
        <f>ROUND(Raw_Data!F585,2)</f>
        <v/>
      </c>
      <c r="G585" s="4">
        <f>PROPER(TRIM(Raw_Data!G585))</f>
        <v/>
      </c>
      <c r="H585" s="4">
        <f>PROPER(TRIM(Raw_Data!H585))</f>
        <v/>
      </c>
      <c r="I585" s="4">
        <f>PROPER(TRIM(Raw_Data!I585))</f>
        <v/>
      </c>
      <c r="J585" s="4">
        <f>TRIM(Raw_Data!J585)</f>
        <v/>
      </c>
      <c r="K585" s="4">
        <f>Raw_Data!K585</f>
        <v/>
      </c>
      <c r="L585" s="4">
        <f>IF(TRIM(Raw_Data!L585)="","No Coupon",TRIM(Raw_Data!L585))</f>
        <v/>
      </c>
      <c r="M585" s="4">
        <f>PROPER(TRIM(Raw_Data!M585))</f>
        <v/>
      </c>
      <c r="N585" s="6">
        <f>ROUND(Raw_Data!N585,2)</f>
        <v/>
      </c>
      <c r="O585" s="7">
        <f>IF(COUNTIF($A$2:$A$1201,A585)&gt;1,"DUPLICATE","Unique")</f>
        <v/>
      </c>
      <c r="P585" s="7">
        <f>IF(COUNTIF($J$2:$J$1201,J585)&gt;1,"DUPLICATE","Unique")</f>
        <v/>
      </c>
      <c r="Q585" s="4">
        <f>IF(TRIM(Raw_Data!L585)="","Yes","No")</f>
        <v/>
      </c>
      <c r="R585" s="4">
        <f>IF(ISNUMBER(B585),"Valid","INVALID")</f>
        <v/>
      </c>
    </row>
    <row r="586">
      <c r="A586" s="4">
        <f>TRIM(Raw_Data!A586)</f>
        <v/>
      </c>
      <c r="B586" s="5">
        <f>Raw_Data!B586</f>
        <v/>
      </c>
      <c r="C586" s="4">
        <f>TRIM(Raw_Data!C586)</f>
        <v/>
      </c>
      <c r="D586" s="4">
        <f>PROPER(TRIM(Raw_Data!D586))</f>
        <v/>
      </c>
      <c r="E586" s="4">
        <f>Raw_Data!E586</f>
        <v/>
      </c>
      <c r="F586" s="6">
        <f>ROUND(Raw_Data!F586,2)</f>
        <v/>
      </c>
      <c r="G586" s="4">
        <f>PROPER(TRIM(Raw_Data!G586))</f>
        <v/>
      </c>
      <c r="H586" s="4">
        <f>PROPER(TRIM(Raw_Data!H586))</f>
        <v/>
      </c>
      <c r="I586" s="4">
        <f>PROPER(TRIM(Raw_Data!I586))</f>
        <v/>
      </c>
      <c r="J586" s="4">
        <f>TRIM(Raw_Data!J586)</f>
        <v/>
      </c>
      <c r="K586" s="4">
        <f>Raw_Data!K586</f>
        <v/>
      </c>
      <c r="L586" s="4">
        <f>IF(TRIM(Raw_Data!L586)="","No Coupon",TRIM(Raw_Data!L586))</f>
        <v/>
      </c>
      <c r="M586" s="4">
        <f>PROPER(TRIM(Raw_Data!M586))</f>
        <v/>
      </c>
      <c r="N586" s="6">
        <f>ROUND(Raw_Data!N586,2)</f>
        <v/>
      </c>
      <c r="O586" s="7">
        <f>IF(COUNTIF($A$2:$A$1201,A586)&gt;1,"DUPLICATE","Unique")</f>
        <v/>
      </c>
      <c r="P586" s="7">
        <f>IF(COUNTIF($J$2:$J$1201,J586)&gt;1,"DUPLICATE","Unique")</f>
        <v/>
      </c>
      <c r="Q586" s="4">
        <f>IF(TRIM(Raw_Data!L586)="","Yes","No")</f>
        <v/>
      </c>
      <c r="R586" s="4">
        <f>IF(ISNUMBER(B586),"Valid","INVALID")</f>
        <v/>
      </c>
    </row>
    <row r="587">
      <c r="A587" s="4">
        <f>TRIM(Raw_Data!A587)</f>
        <v/>
      </c>
      <c r="B587" s="5">
        <f>Raw_Data!B587</f>
        <v/>
      </c>
      <c r="C587" s="4">
        <f>TRIM(Raw_Data!C587)</f>
        <v/>
      </c>
      <c r="D587" s="4">
        <f>PROPER(TRIM(Raw_Data!D587))</f>
        <v/>
      </c>
      <c r="E587" s="4">
        <f>Raw_Data!E587</f>
        <v/>
      </c>
      <c r="F587" s="6">
        <f>ROUND(Raw_Data!F587,2)</f>
        <v/>
      </c>
      <c r="G587" s="4">
        <f>PROPER(TRIM(Raw_Data!G587))</f>
        <v/>
      </c>
      <c r="H587" s="4">
        <f>PROPER(TRIM(Raw_Data!H587))</f>
        <v/>
      </c>
      <c r="I587" s="4">
        <f>PROPER(TRIM(Raw_Data!I587))</f>
        <v/>
      </c>
      <c r="J587" s="4">
        <f>TRIM(Raw_Data!J587)</f>
        <v/>
      </c>
      <c r="K587" s="4">
        <f>Raw_Data!K587</f>
        <v/>
      </c>
      <c r="L587" s="4">
        <f>IF(TRIM(Raw_Data!L587)="","No Coupon",TRIM(Raw_Data!L587))</f>
        <v/>
      </c>
      <c r="M587" s="4">
        <f>PROPER(TRIM(Raw_Data!M587))</f>
        <v/>
      </c>
      <c r="N587" s="6">
        <f>ROUND(Raw_Data!N587,2)</f>
        <v/>
      </c>
      <c r="O587" s="7">
        <f>IF(COUNTIF($A$2:$A$1201,A587)&gt;1,"DUPLICATE","Unique")</f>
        <v/>
      </c>
      <c r="P587" s="7">
        <f>IF(COUNTIF($J$2:$J$1201,J587)&gt;1,"DUPLICATE","Unique")</f>
        <v/>
      </c>
      <c r="Q587" s="4">
        <f>IF(TRIM(Raw_Data!L587)="","Yes","No")</f>
        <v/>
      </c>
      <c r="R587" s="4">
        <f>IF(ISNUMBER(B587),"Valid","INVALID")</f>
        <v/>
      </c>
    </row>
    <row r="588">
      <c r="A588" s="4">
        <f>TRIM(Raw_Data!A588)</f>
        <v/>
      </c>
      <c r="B588" s="5">
        <f>Raw_Data!B588</f>
        <v/>
      </c>
      <c r="C588" s="4">
        <f>TRIM(Raw_Data!C588)</f>
        <v/>
      </c>
      <c r="D588" s="4">
        <f>PROPER(TRIM(Raw_Data!D588))</f>
        <v/>
      </c>
      <c r="E588" s="4">
        <f>Raw_Data!E588</f>
        <v/>
      </c>
      <c r="F588" s="6">
        <f>ROUND(Raw_Data!F588,2)</f>
        <v/>
      </c>
      <c r="G588" s="4">
        <f>PROPER(TRIM(Raw_Data!G588))</f>
        <v/>
      </c>
      <c r="H588" s="4">
        <f>PROPER(TRIM(Raw_Data!H588))</f>
        <v/>
      </c>
      <c r="I588" s="4">
        <f>PROPER(TRIM(Raw_Data!I588))</f>
        <v/>
      </c>
      <c r="J588" s="4">
        <f>TRIM(Raw_Data!J588)</f>
        <v/>
      </c>
      <c r="K588" s="4">
        <f>Raw_Data!K588</f>
        <v/>
      </c>
      <c r="L588" s="4">
        <f>IF(TRIM(Raw_Data!L588)="","No Coupon",TRIM(Raw_Data!L588))</f>
        <v/>
      </c>
      <c r="M588" s="4">
        <f>PROPER(TRIM(Raw_Data!M588))</f>
        <v/>
      </c>
      <c r="N588" s="6">
        <f>ROUND(Raw_Data!N588,2)</f>
        <v/>
      </c>
      <c r="O588" s="7">
        <f>IF(COUNTIF($A$2:$A$1201,A588)&gt;1,"DUPLICATE","Unique")</f>
        <v/>
      </c>
      <c r="P588" s="7">
        <f>IF(COUNTIF($J$2:$J$1201,J588)&gt;1,"DUPLICATE","Unique")</f>
        <v/>
      </c>
      <c r="Q588" s="4">
        <f>IF(TRIM(Raw_Data!L588)="","Yes","No")</f>
        <v/>
      </c>
      <c r="R588" s="4">
        <f>IF(ISNUMBER(B588),"Valid","INVALID")</f>
        <v/>
      </c>
    </row>
    <row r="589">
      <c r="A589" s="4">
        <f>TRIM(Raw_Data!A589)</f>
        <v/>
      </c>
      <c r="B589" s="5">
        <f>Raw_Data!B589</f>
        <v/>
      </c>
      <c r="C589" s="4">
        <f>TRIM(Raw_Data!C589)</f>
        <v/>
      </c>
      <c r="D589" s="4">
        <f>PROPER(TRIM(Raw_Data!D589))</f>
        <v/>
      </c>
      <c r="E589" s="4">
        <f>Raw_Data!E589</f>
        <v/>
      </c>
      <c r="F589" s="6">
        <f>ROUND(Raw_Data!F589,2)</f>
        <v/>
      </c>
      <c r="G589" s="4">
        <f>PROPER(TRIM(Raw_Data!G589))</f>
        <v/>
      </c>
      <c r="H589" s="4">
        <f>PROPER(TRIM(Raw_Data!H589))</f>
        <v/>
      </c>
      <c r="I589" s="4">
        <f>PROPER(TRIM(Raw_Data!I589))</f>
        <v/>
      </c>
      <c r="J589" s="4">
        <f>TRIM(Raw_Data!J589)</f>
        <v/>
      </c>
      <c r="K589" s="4">
        <f>Raw_Data!K589</f>
        <v/>
      </c>
      <c r="L589" s="4">
        <f>IF(TRIM(Raw_Data!L589)="","No Coupon",TRIM(Raw_Data!L589))</f>
        <v/>
      </c>
      <c r="M589" s="4">
        <f>PROPER(TRIM(Raw_Data!M589))</f>
        <v/>
      </c>
      <c r="N589" s="6">
        <f>ROUND(Raw_Data!N589,2)</f>
        <v/>
      </c>
      <c r="O589" s="7">
        <f>IF(COUNTIF($A$2:$A$1201,A589)&gt;1,"DUPLICATE","Unique")</f>
        <v/>
      </c>
      <c r="P589" s="7">
        <f>IF(COUNTIF($J$2:$J$1201,J589)&gt;1,"DUPLICATE","Unique")</f>
        <v/>
      </c>
      <c r="Q589" s="4">
        <f>IF(TRIM(Raw_Data!L589)="","Yes","No")</f>
        <v/>
      </c>
      <c r="R589" s="4">
        <f>IF(ISNUMBER(B589),"Valid","INVALID")</f>
        <v/>
      </c>
    </row>
    <row r="590">
      <c r="A590" s="4">
        <f>TRIM(Raw_Data!A590)</f>
        <v/>
      </c>
      <c r="B590" s="5">
        <f>Raw_Data!B590</f>
        <v/>
      </c>
      <c r="C590" s="4">
        <f>TRIM(Raw_Data!C590)</f>
        <v/>
      </c>
      <c r="D590" s="4">
        <f>PROPER(TRIM(Raw_Data!D590))</f>
        <v/>
      </c>
      <c r="E590" s="4">
        <f>Raw_Data!E590</f>
        <v/>
      </c>
      <c r="F590" s="6">
        <f>ROUND(Raw_Data!F590,2)</f>
        <v/>
      </c>
      <c r="G590" s="4">
        <f>PROPER(TRIM(Raw_Data!G590))</f>
        <v/>
      </c>
      <c r="H590" s="4">
        <f>PROPER(TRIM(Raw_Data!H590))</f>
        <v/>
      </c>
      <c r="I590" s="4">
        <f>PROPER(TRIM(Raw_Data!I590))</f>
        <v/>
      </c>
      <c r="J590" s="4">
        <f>TRIM(Raw_Data!J590)</f>
        <v/>
      </c>
      <c r="K590" s="4">
        <f>Raw_Data!K590</f>
        <v/>
      </c>
      <c r="L590" s="4">
        <f>IF(TRIM(Raw_Data!L590)="","No Coupon",TRIM(Raw_Data!L590))</f>
        <v/>
      </c>
      <c r="M590" s="4">
        <f>PROPER(TRIM(Raw_Data!M590))</f>
        <v/>
      </c>
      <c r="N590" s="6">
        <f>ROUND(Raw_Data!N590,2)</f>
        <v/>
      </c>
      <c r="O590" s="7">
        <f>IF(COUNTIF($A$2:$A$1201,A590)&gt;1,"DUPLICATE","Unique")</f>
        <v/>
      </c>
      <c r="P590" s="7">
        <f>IF(COUNTIF($J$2:$J$1201,J590)&gt;1,"DUPLICATE","Unique")</f>
        <v/>
      </c>
      <c r="Q590" s="4">
        <f>IF(TRIM(Raw_Data!L590)="","Yes","No")</f>
        <v/>
      </c>
      <c r="R590" s="4">
        <f>IF(ISNUMBER(B590),"Valid","INVALID")</f>
        <v/>
      </c>
    </row>
    <row r="591">
      <c r="A591" s="4">
        <f>TRIM(Raw_Data!A591)</f>
        <v/>
      </c>
      <c r="B591" s="5">
        <f>Raw_Data!B591</f>
        <v/>
      </c>
      <c r="C591" s="4">
        <f>TRIM(Raw_Data!C591)</f>
        <v/>
      </c>
      <c r="D591" s="4">
        <f>PROPER(TRIM(Raw_Data!D591))</f>
        <v/>
      </c>
      <c r="E591" s="4">
        <f>Raw_Data!E591</f>
        <v/>
      </c>
      <c r="F591" s="6">
        <f>ROUND(Raw_Data!F591,2)</f>
        <v/>
      </c>
      <c r="G591" s="4">
        <f>PROPER(TRIM(Raw_Data!G591))</f>
        <v/>
      </c>
      <c r="H591" s="4">
        <f>PROPER(TRIM(Raw_Data!H591))</f>
        <v/>
      </c>
      <c r="I591" s="4">
        <f>PROPER(TRIM(Raw_Data!I591))</f>
        <v/>
      </c>
      <c r="J591" s="4">
        <f>TRIM(Raw_Data!J591)</f>
        <v/>
      </c>
      <c r="K591" s="4">
        <f>Raw_Data!K591</f>
        <v/>
      </c>
      <c r="L591" s="4">
        <f>IF(TRIM(Raw_Data!L591)="","No Coupon",TRIM(Raw_Data!L591))</f>
        <v/>
      </c>
      <c r="M591" s="4">
        <f>PROPER(TRIM(Raw_Data!M591))</f>
        <v/>
      </c>
      <c r="N591" s="6">
        <f>ROUND(Raw_Data!N591,2)</f>
        <v/>
      </c>
      <c r="O591" s="7">
        <f>IF(COUNTIF($A$2:$A$1201,A591)&gt;1,"DUPLICATE","Unique")</f>
        <v/>
      </c>
      <c r="P591" s="7">
        <f>IF(COUNTIF($J$2:$J$1201,J591)&gt;1,"DUPLICATE","Unique")</f>
        <v/>
      </c>
      <c r="Q591" s="4">
        <f>IF(TRIM(Raw_Data!L591)="","Yes","No")</f>
        <v/>
      </c>
      <c r="R591" s="4">
        <f>IF(ISNUMBER(B591),"Valid","INVALID")</f>
        <v/>
      </c>
    </row>
    <row r="592">
      <c r="A592" s="4">
        <f>TRIM(Raw_Data!A592)</f>
        <v/>
      </c>
      <c r="B592" s="5">
        <f>Raw_Data!B592</f>
        <v/>
      </c>
      <c r="C592" s="4">
        <f>TRIM(Raw_Data!C592)</f>
        <v/>
      </c>
      <c r="D592" s="4">
        <f>PROPER(TRIM(Raw_Data!D592))</f>
        <v/>
      </c>
      <c r="E592" s="4">
        <f>Raw_Data!E592</f>
        <v/>
      </c>
      <c r="F592" s="6">
        <f>ROUND(Raw_Data!F592,2)</f>
        <v/>
      </c>
      <c r="G592" s="4">
        <f>PROPER(TRIM(Raw_Data!G592))</f>
        <v/>
      </c>
      <c r="H592" s="4">
        <f>PROPER(TRIM(Raw_Data!H592))</f>
        <v/>
      </c>
      <c r="I592" s="4">
        <f>PROPER(TRIM(Raw_Data!I592))</f>
        <v/>
      </c>
      <c r="J592" s="4">
        <f>TRIM(Raw_Data!J592)</f>
        <v/>
      </c>
      <c r="K592" s="4">
        <f>Raw_Data!K592</f>
        <v/>
      </c>
      <c r="L592" s="4">
        <f>IF(TRIM(Raw_Data!L592)="","No Coupon",TRIM(Raw_Data!L592))</f>
        <v/>
      </c>
      <c r="M592" s="4">
        <f>PROPER(TRIM(Raw_Data!M592))</f>
        <v/>
      </c>
      <c r="N592" s="6">
        <f>ROUND(Raw_Data!N592,2)</f>
        <v/>
      </c>
      <c r="O592" s="7">
        <f>IF(COUNTIF($A$2:$A$1201,A592)&gt;1,"DUPLICATE","Unique")</f>
        <v/>
      </c>
      <c r="P592" s="7">
        <f>IF(COUNTIF($J$2:$J$1201,J592)&gt;1,"DUPLICATE","Unique")</f>
        <v/>
      </c>
      <c r="Q592" s="4">
        <f>IF(TRIM(Raw_Data!L592)="","Yes","No")</f>
        <v/>
      </c>
      <c r="R592" s="4">
        <f>IF(ISNUMBER(B592),"Valid","INVALID")</f>
        <v/>
      </c>
    </row>
    <row r="593">
      <c r="A593" s="4">
        <f>TRIM(Raw_Data!A593)</f>
        <v/>
      </c>
      <c r="B593" s="5">
        <f>Raw_Data!B593</f>
        <v/>
      </c>
      <c r="C593" s="4">
        <f>TRIM(Raw_Data!C593)</f>
        <v/>
      </c>
      <c r="D593" s="4">
        <f>PROPER(TRIM(Raw_Data!D593))</f>
        <v/>
      </c>
      <c r="E593" s="4">
        <f>Raw_Data!E593</f>
        <v/>
      </c>
      <c r="F593" s="6">
        <f>ROUND(Raw_Data!F593,2)</f>
        <v/>
      </c>
      <c r="G593" s="4">
        <f>PROPER(TRIM(Raw_Data!G593))</f>
        <v/>
      </c>
      <c r="H593" s="4">
        <f>PROPER(TRIM(Raw_Data!H593))</f>
        <v/>
      </c>
      <c r="I593" s="4">
        <f>PROPER(TRIM(Raw_Data!I593))</f>
        <v/>
      </c>
      <c r="J593" s="4">
        <f>TRIM(Raw_Data!J593)</f>
        <v/>
      </c>
      <c r="K593" s="4">
        <f>Raw_Data!K593</f>
        <v/>
      </c>
      <c r="L593" s="4">
        <f>IF(TRIM(Raw_Data!L593)="","No Coupon",TRIM(Raw_Data!L593))</f>
        <v/>
      </c>
      <c r="M593" s="4">
        <f>PROPER(TRIM(Raw_Data!M593))</f>
        <v/>
      </c>
      <c r="N593" s="6">
        <f>ROUND(Raw_Data!N593,2)</f>
        <v/>
      </c>
      <c r="O593" s="7">
        <f>IF(COUNTIF($A$2:$A$1201,A593)&gt;1,"DUPLICATE","Unique")</f>
        <v/>
      </c>
      <c r="P593" s="7">
        <f>IF(COUNTIF($J$2:$J$1201,J593)&gt;1,"DUPLICATE","Unique")</f>
        <v/>
      </c>
      <c r="Q593" s="4">
        <f>IF(TRIM(Raw_Data!L593)="","Yes","No")</f>
        <v/>
      </c>
      <c r="R593" s="4">
        <f>IF(ISNUMBER(B593),"Valid","INVALID")</f>
        <v/>
      </c>
    </row>
    <row r="594">
      <c r="A594" s="4">
        <f>TRIM(Raw_Data!A594)</f>
        <v/>
      </c>
      <c r="B594" s="5">
        <f>Raw_Data!B594</f>
        <v/>
      </c>
      <c r="C594" s="4">
        <f>TRIM(Raw_Data!C594)</f>
        <v/>
      </c>
      <c r="D594" s="4">
        <f>PROPER(TRIM(Raw_Data!D594))</f>
        <v/>
      </c>
      <c r="E594" s="4">
        <f>Raw_Data!E594</f>
        <v/>
      </c>
      <c r="F594" s="6">
        <f>ROUND(Raw_Data!F594,2)</f>
        <v/>
      </c>
      <c r="G594" s="4">
        <f>PROPER(TRIM(Raw_Data!G594))</f>
        <v/>
      </c>
      <c r="H594" s="4">
        <f>PROPER(TRIM(Raw_Data!H594))</f>
        <v/>
      </c>
      <c r="I594" s="4">
        <f>PROPER(TRIM(Raw_Data!I594))</f>
        <v/>
      </c>
      <c r="J594" s="4">
        <f>TRIM(Raw_Data!J594)</f>
        <v/>
      </c>
      <c r="K594" s="4">
        <f>Raw_Data!K594</f>
        <v/>
      </c>
      <c r="L594" s="4">
        <f>IF(TRIM(Raw_Data!L594)="","No Coupon",TRIM(Raw_Data!L594))</f>
        <v/>
      </c>
      <c r="M594" s="4">
        <f>PROPER(TRIM(Raw_Data!M594))</f>
        <v/>
      </c>
      <c r="N594" s="6">
        <f>ROUND(Raw_Data!N594,2)</f>
        <v/>
      </c>
      <c r="O594" s="7">
        <f>IF(COUNTIF($A$2:$A$1201,A594)&gt;1,"DUPLICATE","Unique")</f>
        <v/>
      </c>
      <c r="P594" s="7">
        <f>IF(COUNTIF($J$2:$J$1201,J594)&gt;1,"DUPLICATE","Unique")</f>
        <v/>
      </c>
      <c r="Q594" s="4">
        <f>IF(TRIM(Raw_Data!L594)="","Yes","No")</f>
        <v/>
      </c>
      <c r="R594" s="4">
        <f>IF(ISNUMBER(B594),"Valid","INVALID")</f>
        <v/>
      </c>
    </row>
    <row r="595">
      <c r="A595" s="4">
        <f>TRIM(Raw_Data!A595)</f>
        <v/>
      </c>
      <c r="B595" s="5">
        <f>Raw_Data!B595</f>
        <v/>
      </c>
      <c r="C595" s="4">
        <f>TRIM(Raw_Data!C595)</f>
        <v/>
      </c>
      <c r="D595" s="4">
        <f>PROPER(TRIM(Raw_Data!D595))</f>
        <v/>
      </c>
      <c r="E595" s="4">
        <f>Raw_Data!E595</f>
        <v/>
      </c>
      <c r="F595" s="6">
        <f>ROUND(Raw_Data!F595,2)</f>
        <v/>
      </c>
      <c r="G595" s="4">
        <f>PROPER(TRIM(Raw_Data!G595))</f>
        <v/>
      </c>
      <c r="H595" s="4">
        <f>PROPER(TRIM(Raw_Data!H595))</f>
        <v/>
      </c>
      <c r="I595" s="4">
        <f>PROPER(TRIM(Raw_Data!I595))</f>
        <v/>
      </c>
      <c r="J595" s="4">
        <f>TRIM(Raw_Data!J595)</f>
        <v/>
      </c>
      <c r="K595" s="4">
        <f>Raw_Data!K595</f>
        <v/>
      </c>
      <c r="L595" s="4">
        <f>IF(TRIM(Raw_Data!L595)="","No Coupon",TRIM(Raw_Data!L595))</f>
        <v/>
      </c>
      <c r="M595" s="4">
        <f>PROPER(TRIM(Raw_Data!M595))</f>
        <v/>
      </c>
      <c r="N595" s="6">
        <f>ROUND(Raw_Data!N595,2)</f>
        <v/>
      </c>
      <c r="O595" s="7">
        <f>IF(COUNTIF($A$2:$A$1201,A595)&gt;1,"DUPLICATE","Unique")</f>
        <v/>
      </c>
      <c r="P595" s="7">
        <f>IF(COUNTIF($J$2:$J$1201,J595)&gt;1,"DUPLICATE","Unique")</f>
        <v/>
      </c>
      <c r="Q595" s="4">
        <f>IF(TRIM(Raw_Data!L595)="","Yes","No")</f>
        <v/>
      </c>
      <c r="R595" s="4">
        <f>IF(ISNUMBER(B595),"Valid","INVALID")</f>
        <v/>
      </c>
    </row>
    <row r="596">
      <c r="A596" s="4">
        <f>TRIM(Raw_Data!A596)</f>
        <v/>
      </c>
      <c r="B596" s="5">
        <f>Raw_Data!B596</f>
        <v/>
      </c>
      <c r="C596" s="4">
        <f>TRIM(Raw_Data!C596)</f>
        <v/>
      </c>
      <c r="D596" s="4">
        <f>PROPER(TRIM(Raw_Data!D596))</f>
        <v/>
      </c>
      <c r="E596" s="4">
        <f>Raw_Data!E596</f>
        <v/>
      </c>
      <c r="F596" s="6">
        <f>ROUND(Raw_Data!F596,2)</f>
        <v/>
      </c>
      <c r="G596" s="4">
        <f>PROPER(TRIM(Raw_Data!G596))</f>
        <v/>
      </c>
      <c r="H596" s="4">
        <f>PROPER(TRIM(Raw_Data!H596))</f>
        <v/>
      </c>
      <c r="I596" s="4">
        <f>PROPER(TRIM(Raw_Data!I596))</f>
        <v/>
      </c>
      <c r="J596" s="4">
        <f>TRIM(Raw_Data!J596)</f>
        <v/>
      </c>
      <c r="K596" s="4">
        <f>Raw_Data!K596</f>
        <v/>
      </c>
      <c r="L596" s="4">
        <f>IF(TRIM(Raw_Data!L596)="","No Coupon",TRIM(Raw_Data!L596))</f>
        <v/>
      </c>
      <c r="M596" s="4">
        <f>PROPER(TRIM(Raw_Data!M596))</f>
        <v/>
      </c>
      <c r="N596" s="6">
        <f>ROUND(Raw_Data!N596,2)</f>
        <v/>
      </c>
      <c r="O596" s="7">
        <f>IF(COUNTIF($A$2:$A$1201,A596)&gt;1,"DUPLICATE","Unique")</f>
        <v/>
      </c>
      <c r="P596" s="7">
        <f>IF(COUNTIF($J$2:$J$1201,J596)&gt;1,"DUPLICATE","Unique")</f>
        <v/>
      </c>
      <c r="Q596" s="4">
        <f>IF(TRIM(Raw_Data!L596)="","Yes","No")</f>
        <v/>
      </c>
      <c r="R596" s="4">
        <f>IF(ISNUMBER(B596),"Valid","INVALID")</f>
        <v/>
      </c>
    </row>
    <row r="597">
      <c r="A597" s="4">
        <f>TRIM(Raw_Data!A597)</f>
        <v/>
      </c>
      <c r="B597" s="5">
        <f>Raw_Data!B597</f>
        <v/>
      </c>
      <c r="C597" s="4">
        <f>TRIM(Raw_Data!C597)</f>
        <v/>
      </c>
      <c r="D597" s="4">
        <f>PROPER(TRIM(Raw_Data!D597))</f>
        <v/>
      </c>
      <c r="E597" s="4">
        <f>Raw_Data!E597</f>
        <v/>
      </c>
      <c r="F597" s="6">
        <f>ROUND(Raw_Data!F597,2)</f>
        <v/>
      </c>
      <c r="G597" s="4">
        <f>PROPER(TRIM(Raw_Data!G597))</f>
        <v/>
      </c>
      <c r="H597" s="4">
        <f>PROPER(TRIM(Raw_Data!H597))</f>
        <v/>
      </c>
      <c r="I597" s="4">
        <f>PROPER(TRIM(Raw_Data!I597))</f>
        <v/>
      </c>
      <c r="J597" s="4">
        <f>TRIM(Raw_Data!J597)</f>
        <v/>
      </c>
      <c r="K597" s="4">
        <f>Raw_Data!K597</f>
        <v/>
      </c>
      <c r="L597" s="4">
        <f>IF(TRIM(Raw_Data!L597)="","No Coupon",TRIM(Raw_Data!L597))</f>
        <v/>
      </c>
      <c r="M597" s="4">
        <f>PROPER(TRIM(Raw_Data!M597))</f>
        <v/>
      </c>
      <c r="N597" s="6">
        <f>ROUND(Raw_Data!N597,2)</f>
        <v/>
      </c>
      <c r="O597" s="7">
        <f>IF(COUNTIF($A$2:$A$1201,A597)&gt;1,"DUPLICATE","Unique")</f>
        <v/>
      </c>
      <c r="P597" s="7">
        <f>IF(COUNTIF($J$2:$J$1201,J597)&gt;1,"DUPLICATE","Unique")</f>
        <v/>
      </c>
      <c r="Q597" s="4">
        <f>IF(TRIM(Raw_Data!L597)="","Yes","No")</f>
        <v/>
      </c>
      <c r="R597" s="4">
        <f>IF(ISNUMBER(B597),"Valid","INVALID")</f>
        <v/>
      </c>
    </row>
    <row r="598">
      <c r="A598" s="4">
        <f>TRIM(Raw_Data!A598)</f>
        <v/>
      </c>
      <c r="B598" s="5">
        <f>Raw_Data!B598</f>
        <v/>
      </c>
      <c r="C598" s="4">
        <f>TRIM(Raw_Data!C598)</f>
        <v/>
      </c>
      <c r="D598" s="4">
        <f>PROPER(TRIM(Raw_Data!D598))</f>
        <v/>
      </c>
      <c r="E598" s="4">
        <f>Raw_Data!E598</f>
        <v/>
      </c>
      <c r="F598" s="6">
        <f>ROUND(Raw_Data!F598,2)</f>
        <v/>
      </c>
      <c r="G598" s="4">
        <f>PROPER(TRIM(Raw_Data!G598))</f>
        <v/>
      </c>
      <c r="H598" s="4">
        <f>PROPER(TRIM(Raw_Data!H598))</f>
        <v/>
      </c>
      <c r="I598" s="4">
        <f>PROPER(TRIM(Raw_Data!I598))</f>
        <v/>
      </c>
      <c r="J598" s="4">
        <f>TRIM(Raw_Data!J598)</f>
        <v/>
      </c>
      <c r="K598" s="4">
        <f>Raw_Data!K598</f>
        <v/>
      </c>
      <c r="L598" s="4">
        <f>IF(TRIM(Raw_Data!L598)="","No Coupon",TRIM(Raw_Data!L598))</f>
        <v/>
      </c>
      <c r="M598" s="4">
        <f>PROPER(TRIM(Raw_Data!M598))</f>
        <v/>
      </c>
      <c r="N598" s="6">
        <f>ROUND(Raw_Data!N598,2)</f>
        <v/>
      </c>
      <c r="O598" s="7">
        <f>IF(COUNTIF($A$2:$A$1201,A598)&gt;1,"DUPLICATE","Unique")</f>
        <v/>
      </c>
      <c r="P598" s="7">
        <f>IF(COUNTIF($J$2:$J$1201,J598)&gt;1,"DUPLICATE","Unique")</f>
        <v/>
      </c>
      <c r="Q598" s="4">
        <f>IF(TRIM(Raw_Data!L598)="","Yes","No")</f>
        <v/>
      </c>
      <c r="R598" s="4">
        <f>IF(ISNUMBER(B598),"Valid","INVALID")</f>
        <v/>
      </c>
    </row>
    <row r="599">
      <c r="A599" s="4">
        <f>TRIM(Raw_Data!A599)</f>
        <v/>
      </c>
      <c r="B599" s="5">
        <f>Raw_Data!B599</f>
        <v/>
      </c>
      <c r="C599" s="4">
        <f>TRIM(Raw_Data!C599)</f>
        <v/>
      </c>
      <c r="D599" s="4">
        <f>PROPER(TRIM(Raw_Data!D599))</f>
        <v/>
      </c>
      <c r="E599" s="4">
        <f>Raw_Data!E599</f>
        <v/>
      </c>
      <c r="F599" s="6">
        <f>ROUND(Raw_Data!F599,2)</f>
        <v/>
      </c>
      <c r="G599" s="4">
        <f>PROPER(TRIM(Raw_Data!G599))</f>
        <v/>
      </c>
      <c r="H599" s="4">
        <f>PROPER(TRIM(Raw_Data!H599))</f>
        <v/>
      </c>
      <c r="I599" s="4">
        <f>PROPER(TRIM(Raw_Data!I599))</f>
        <v/>
      </c>
      <c r="J599" s="4">
        <f>TRIM(Raw_Data!J599)</f>
        <v/>
      </c>
      <c r="K599" s="4">
        <f>Raw_Data!K599</f>
        <v/>
      </c>
      <c r="L599" s="4">
        <f>IF(TRIM(Raw_Data!L599)="","No Coupon",TRIM(Raw_Data!L599))</f>
        <v/>
      </c>
      <c r="M599" s="4">
        <f>PROPER(TRIM(Raw_Data!M599))</f>
        <v/>
      </c>
      <c r="N599" s="6">
        <f>ROUND(Raw_Data!N599,2)</f>
        <v/>
      </c>
      <c r="O599" s="7">
        <f>IF(COUNTIF($A$2:$A$1201,A599)&gt;1,"DUPLICATE","Unique")</f>
        <v/>
      </c>
      <c r="P599" s="7">
        <f>IF(COUNTIF($J$2:$J$1201,J599)&gt;1,"DUPLICATE","Unique")</f>
        <v/>
      </c>
      <c r="Q599" s="4">
        <f>IF(TRIM(Raw_Data!L599)="","Yes","No")</f>
        <v/>
      </c>
      <c r="R599" s="4">
        <f>IF(ISNUMBER(B599),"Valid","INVALID")</f>
        <v/>
      </c>
    </row>
    <row r="600">
      <c r="A600" s="4">
        <f>TRIM(Raw_Data!A600)</f>
        <v/>
      </c>
      <c r="B600" s="5">
        <f>Raw_Data!B600</f>
        <v/>
      </c>
      <c r="C600" s="4">
        <f>TRIM(Raw_Data!C600)</f>
        <v/>
      </c>
      <c r="D600" s="4">
        <f>PROPER(TRIM(Raw_Data!D600))</f>
        <v/>
      </c>
      <c r="E600" s="4">
        <f>Raw_Data!E600</f>
        <v/>
      </c>
      <c r="F600" s="6">
        <f>ROUND(Raw_Data!F600,2)</f>
        <v/>
      </c>
      <c r="G600" s="4">
        <f>PROPER(TRIM(Raw_Data!G600))</f>
        <v/>
      </c>
      <c r="H600" s="4">
        <f>PROPER(TRIM(Raw_Data!H600))</f>
        <v/>
      </c>
      <c r="I600" s="4">
        <f>PROPER(TRIM(Raw_Data!I600))</f>
        <v/>
      </c>
      <c r="J600" s="4">
        <f>TRIM(Raw_Data!J600)</f>
        <v/>
      </c>
      <c r="K600" s="4">
        <f>Raw_Data!K600</f>
        <v/>
      </c>
      <c r="L600" s="4">
        <f>IF(TRIM(Raw_Data!L600)="","No Coupon",TRIM(Raw_Data!L600))</f>
        <v/>
      </c>
      <c r="M600" s="4">
        <f>PROPER(TRIM(Raw_Data!M600))</f>
        <v/>
      </c>
      <c r="N600" s="6">
        <f>ROUND(Raw_Data!N600,2)</f>
        <v/>
      </c>
      <c r="O600" s="7">
        <f>IF(COUNTIF($A$2:$A$1201,A600)&gt;1,"DUPLICATE","Unique")</f>
        <v/>
      </c>
      <c r="P600" s="7">
        <f>IF(COUNTIF($J$2:$J$1201,J600)&gt;1,"DUPLICATE","Unique")</f>
        <v/>
      </c>
      <c r="Q600" s="4">
        <f>IF(TRIM(Raw_Data!L600)="","Yes","No")</f>
        <v/>
      </c>
      <c r="R600" s="4">
        <f>IF(ISNUMBER(B600),"Valid","INVALID")</f>
        <v/>
      </c>
    </row>
    <row r="601">
      <c r="A601" s="4">
        <f>TRIM(Raw_Data!A601)</f>
        <v/>
      </c>
      <c r="B601" s="5">
        <f>Raw_Data!B601</f>
        <v/>
      </c>
      <c r="C601" s="4">
        <f>TRIM(Raw_Data!C601)</f>
        <v/>
      </c>
      <c r="D601" s="4">
        <f>PROPER(TRIM(Raw_Data!D601))</f>
        <v/>
      </c>
      <c r="E601" s="4">
        <f>Raw_Data!E601</f>
        <v/>
      </c>
      <c r="F601" s="6">
        <f>ROUND(Raw_Data!F601,2)</f>
        <v/>
      </c>
      <c r="G601" s="4">
        <f>PROPER(TRIM(Raw_Data!G601))</f>
        <v/>
      </c>
      <c r="H601" s="4">
        <f>PROPER(TRIM(Raw_Data!H601))</f>
        <v/>
      </c>
      <c r="I601" s="4">
        <f>PROPER(TRIM(Raw_Data!I601))</f>
        <v/>
      </c>
      <c r="J601" s="4">
        <f>TRIM(Raw_Data!J601)</f>
        <v/>
      </c>
      <c r="K601" s="4">
        <f>Raw_Data!K601</f>
        <v/>
      </c>
      <c r="L601" s="4">
        <f>IF(TRIM(Raw_Data!L601)="","No Coupon",TRIM(Raw_Data!L601))</f>
        <v/>
      </c>
      <c r="M601" s="4">
        <f>PROPER(TRIM(Raw_Data!M601))</f>
        <v/>
      </c>
      <c r="N601" s="6">
        <f>ROUND(Raw_Data!N601,2)</f>
        <v/>
      </c>
      <c r="O601" s="7">
        <f>IF(COUNTIF($A$2:$A$1201,A601)&gt;1,"DUPLICATE","Unique")</f>
        <v/>
      </c>
      <c r="P601" s="7">
        <f>IF(COUNTIF($J$2:$J$1201,J601)&gt;1,"DUPLICATE","Unique")</f>
        <v/>
      </c>
      <c r="Q601" s="4">
        <f>IF(TRIM(Raw_Data!L601)="","Yes","No")</f>
        <v/>
      </c>
      <c r="R601" s="4">
        <f>IF(ISNUMBER(B601),"Valid","INVALID")</f>
        <v/>
      </c>
    </row>
    <row r="602">
      <c r="A602" s="4">
        <f>TRIM(Raw_Data!A602)</f>
        <v/>
      </c>
      <c r="B602" s="5">
        <f>Raw_Data!B602</f>
        <v/>
      </c>
      <c r="C602" s="4">
        <f>TRIM(Raw_Data!C602)</f>
        <v/>
      </c>
      <c r="D602" s="4">
        <f>PROPER(TRIM(Raw_Data!D602))</f>
        <v/>
      </c>
      <c r="E602" s="4">
        <f>Raw_Data!E602</f>
        <v/>
      </c>
      <c r="F602" s="6">
        <f>ROUND(Raw_Data!F602,2)</f>
        <v/>
      </c>
      <c r="G602" s="4">
        <f>PROPER(TRIM(Raw_Data!G602))</f>
        <v/>
      </c>
      <c r="H602" s="4">
        <f>PROPER(TRIM(Raw_Data!H602))</f>
        <v/>
      </c>
      <c r="I602" s="4">
        <f>PROPER(TRIM(Raw_Data!I602))</f>
        <v/>
      </c>
      <c r="J602" s="4">
        <f>TRIM(Raw_Data!J602)</f>
        <v/>
      </c>
      <c r="K602" s="4">
        <f>Raw_Data!K602</f>
        <v/>
      </c>
      <c r="L602" s="4">
        <f>IF(TRIM(Raw_Data!L602)="","No Coupon",TRIM(Raw_Data!L602))</f>
        <v/>
      </c>
      <c r="M602" s="4">
        <f>PROPER(TRIM(Raw_Data!M602))</f>
        <v/>
      </c>
      <c r="N602" s="6">
        <f>ROUND(Raw_Data!N602,2)</f>
        <v/>
      </c>
      <c r="O602" s="7">
        <f>IF(COUNTIF($A$2:$A$1201,A602)&gt;1,"DUPLICATE","Unique")</f>
        <v/>
      </c>
      <c r="P602" s="7">
        <f>IF(COUNTIF($J$2:$J$1201,J602)&gt;1,"DUPLICATE","Unique")</f>
        <v/>
      </c>
      <c r="Q602" s="4">
        <f>IF(TRIM(Raw_Data!L602)="","Yes","No")</f>
        <v/>
      </c>
      <c r="R602" s="4">
        <f>IF(ISNUMBER(B602),"Valid","INVALID")</f>
        <v/>
      </c>
    </row>
    <row r="603">
      <c r="A603" s="4">
        <f>TRIM(Raw_Data!A603)</f>
        <v/>
      </c>
      <c r="B603" s="5">
        <f>Raw_Data!B603</f>
        <v/>
      </c>
      <c r="C603" s="4">
        <f>TRIM(Raw_Data!C603)</f>
        <v/>
      </c>
      <c r="D603" s="4">
        <f>PROPER(TRIM(Raw_Data!D603))</f>
        <v/>
      </c>
      <c r="E603" s="4">
        <f>Raw_Data!E603</f>
        <v/>
      </c>
      <c r="F603" s="6">
        <f>ROUND(Raw_Data!F603,2)</f>
        <v/>
      </c>
      <c r="G603" s="4">
        <f>PROPER(TRIM(Raw_Data!G603))</f>
        <v/>
      </c>
      <c r="H603" s="4">
        <f>PROPER(TRIM(Raw_Data!H603))</f>
        <v/>
      </c>
      <c r="I603" s="4">
        <f>PROPER(TRIM(Raw_Data!I603))</f>
        <v/>
      </c>
      <c r="J603" s="4">
        <f>TRIM(Raw_Data!J603)</f>
        <v/>
      </c>
      <c r="K603" s="4">
        <f>Raw_Data!K603</f>
        <v/>
      </c>
      <c r="L603" s="4">
        <f>IF(TRIM(Raw_Data!L603)="","No Coupon",TRIM(Raw_Data!L603))</f>
        <v/>
      </c>
      <c r="M603" s="4">
        <f>PROPER(TRIM(Raw_Data!M603))</f>
        <v/>
      </c>
      <c r="N603" s="6">
        <f>ROUND(Raw_Data!N603,2)</f>
        <v/>
      </c>
      <c r="O603" s="7">
        <f>IF(COUNTIF($A$2:$A$1201,A603)&gt;1,"DUPLICATE","Unique")</f>
        <v/>
      </c>
      <c r="P603" s="7">
        <f>IF(COUNTIF($J$2:$J$1201,J603)&gt;1,"DUPLICATE","Unique")</f>
        <v/>
      </c>
      <c r="Q603" s="4">
        <f>IF(TRIM(Raw_Data!L603)="","Yes","No")</f>
        <v/>
      </c>
      <c r="R603" s="4">
        <f>IF(ISNUMBER(B603),"Valid","INVALID")</f>
        <v/>
      </c>
    </row>
    <row r="604">
      <c r="A604" s="4">
        <f>TRIM(Raw_Data!A604)</f>
        <v/>
      </c>
      <c r="B604" s="5">
        <f>Raw_Data!B604</f>
        <v/>
      </c>
      <c r="C604" s="4">
        <f>TRIM(Raw_Data!C604)</f>
        <v/>
      </c>
      <c r="D604" s="4">
        <f>PROPER(TRIM(Raw_Data!D604))</f>
        <v/>
      </c>
      <c r="E604" s="4">
        <f>Raw_Data!E604</f>
        <v/>
      </c>
      <c r="F604" s="6">
        <f>ROUND(Raw_Data!F604,2)</f>
        <v/>
      </c>
      <c r="G604" s="4">
        <f>PROPER(TRIM(Raw_Data!G604))</f>
        <v/>
      </c>
      <c r="H604" s="4">
        <f>PROPER(TRIM(Raw_Data!H604))</f>
        <v/>
      </c>
      <c r="I604" s="4">
        <f>PROPER(TRIM(Raw_Data!I604))</f>
        <v/>
      </c>
      <c r="J604" s="4">
        <f>TRIM(Raw_Data!J604)</f>
        <v/>
      </c>
      <c r="K604" s="4">
        <f>Raw_Data!K604</f>
        <v/>
      </c>
      <c r="L604" s="4">
        <f>IF(TRIM(Raw_Data!L604)="","No Coupon",TRIM(Raw_Data!L604))</f>
        <v/>
      </c>
      <c r="M604" s="4">
        <f>PROPER(TRIM(Raw_Data!M604))</f>
        <v/>
      </c>
      <c r="N604" s="6">
        <f>ROUND(Raw_Data!N604,2)</f>
        <v/>
      </c>
      <c r="O604" s="7">
        <f>IF(COUNTIF($A$2:$A$1201,A604)&gt;1,"DUPLICATE","Unique")</f>
        <v/>
      </c>
      <c r="P604" s="7">
        <f>IF(COUNTIF($J$2:$J$1201,J604)&gt;1,"DUPLICATE","Unique")</f>
        <v/>
      </c>
      <c r="Q604" s="4">
        <f>IF(TRIM(Raw_Data!L604)="","Yes","No")</f>
        <v/>
      </c>
      <c r="R604" s="4">
        <f>IF(ISNUMBER(B604),"Valid","INVALID")</f>
        <v/>
      </c>
    </row>
    <row r="605">
      <c r="A605" s="4">
        <f>TRIM(Raw_Data!A605)</f>
        <v/>
      </c>
      <c r="B605" s="5">
        <f>Raw_Data!B605</f>
        <v/>
      </c>
      <c r="C605" s="4">
        <f>TRIM(Raw_Data!C605)</f>
        <v/>
      </c>
      <c r="D605" s="4">
        <f>PROPER(TRIM(Raw_Data!D605))</f>
        <v/>
      </c>
      <c r="E605" s="4">
        <f>Raw_Data!E605</f>
        <v/>
      </c>
      <c r="F605" s="6">
        <f>ROUND(Raw_Data!F605,2)</f>
        <v/>
      </c>
      <c r="G605" s="4">
        <f>PROPER(TRIM(Raw_Data!G605))</f>
        <v/>
      </c>
      <c r="H605" s="4">
        <f>PROPER(TRIM(Raw_Data!H605))</f>
        <v/>
      </c>
      <c r="I605" s="4">
        <f>PROPER(TRIM(Raw_Data!I605))</f>
        <v/>
      </c>
      <c r="J605" s="4">
        <f>TRIM(Raw_Data!J605)</f>
        <v/>
      </c>
      <c r="K605" s="4">
        <f>Raw_Data!K605</f>
        <v/>
      </c>
      <c r="L605" s="4">
        <f>IF(TRIM(Raw_Data!L605)="","No Coupon",TRIM(Raw_Data!L605))</f>
        <v/>
      </c>
      <c r="M605" s="4">
        <f>PROPER(TRIM(Raw_Data!M605))</f>
        <v/>
      </c>
      <c r="N605" s="6">
        <f>ROUND(Raw_Data!N605,2)</f>
        <v/>
      </c>
      <c r="O605" s="7">
        <f>IF(COUNTIF($A$2:$A$1201,A605)&gt;1,"DUPLICATE","Unique")</f>
        <v/>
      </c>
      <c r="P605" s="7">
        <f>IF(COUNTIF($J$2:$J$1201,J605)&gt;1,"DUPLICATE","Unique")</f>
        <v/>
      </c>
      <c r="Q605" s="4">
        <f>IF(TRIM(Raw_Data!L605)="","Yes","No")</f>
        <v/>
      </c>
      <c r="R605" s="4">
        <f>IF(ISNUMBER(B605),"Valid","INVALID")</f>
        <v/>
      </c>
    </row>
    <row r="606">
      <c r="A606" s="4">
        <f>TRIM(Raw_Data!A606)</f>
        <v/>
      </c>
      <c r="B606" s="5">
        <f>Raw_Data!B606</f>
        <v/>
      </c>
      <c r="C606" s="4">
        <f>TRIM(Raw_Data!C606)</f>
        <v/>
      </c>
      <c r="D606" s="4">
        <f>PROPER(TRIM(Raw_Data!D606))</f>
        <v/>
      </c>
      <c r="E606" s="4">
        <f>Raw_Data!E606</f>
        <v/>
      </c>
      <c r="F606" s="6">
        <f>ROUND(Raw_Data!F606,2)</f>
        <v/>
      </c>
      <c r="G606" s="4">
        <f>PROPER(TRIM(Raw_Data!G606))</f>
        <v/>
      </c>
      <c r="H606" s="4">
        <f>PROPER(TRIM(Raw_Data!H606))</f>
        <v/>
      </c>
      <c r="I606" s="4">
        <f>PROPER(TRIM(Raw_Data!I606))</f>
        <v/>
      </c>
      <c r="J606" s="4">
        <f>TRIM(Raw_Data!J606)</f>
        <v/>
      </c>
      <c r="K606" s="4">
        <f>Raw_Data!K606</f>
        <v/>
      </c>
      <c r="L606" s="4">
        <f>IF(TRIM(Raw_Data!L606)="","No Coupon",TRIM(Raw_Data!L606))</f>
        <v/>
      </c>
      <c r="M606" s="4">
        <f>PROPER(TRIM(Raw_Data!M606))</f>
        <v/>
      </c>
      <c r="N606" s="6">
        <f>ROUND(Raw_Data!N606,2)</f>
        <v/>
      </c>
      <c r="O606" s="7">
        <f>IF(COUNTIF($A$2:$A$1201,A606)&gt;1,"DUPLICATE","Unique")</f>
        <v/>
      </c>
      <c r="P606" s="7">
        <f>IF(COUNTIF($J$2:$J$1201,J606)&gt;1,"DUPLICATE","Unique")</f>
        <v/>
      </c>
      <c r="Q606" s="4">
        <f>IF(TRIM(Raw_Data!L606)="","Yes","No")</f>
        <v/>
      </c>
      <c r="R606" s="4">
        <f>IF(ISNUMBER(B606),"Valid","INVALID")</f>
        <v/>
      </c>
    </row>
    <row r="607">
      <c r="A607" s="4">
        <f>TRIM(Raw_Data!A607)</f>
        <v/>
      </c>
      <c r="B607" s="5">
        <f>Raw_Data!B607</f>
        <v/>
      </c>
      <c r="C607" s="4">
        <f>TRIM(Raw_Data!C607)</f>
        <v/>
      </c>
      <c r="D607" s="4">
        <f>PROPER(TRIM(Raw_Data!D607))</f>
        <v/>
      </c>
      <c r="E607" s="4">
        <f>Raw_Data!E607</f>
        <v/>
      </c>
      <c r="F607" s="6">
        <f>ROUND(Raw_Data!F607,2)</f>
        <v/>
      </c>
      <c r="G607" s="4">
        <f>PROPER(TRIM(Raw_Data!G607))</f>
        <v/>
      </c>
      <c r="H607" s="4">
        <f>PROPER(TRIM(Raw_Data!H607))</f>
        <v/>
      </c>
      <c r="I607" s="4">
        <f>PROPER(TRIM(Raw_Data!I607))</f>
        <v/>
      </c>
      <c r="J607" s="4">
        <f>TRIM(Raw_Data!J607)</f>
        <v/>
      </c>
      <c r="K607" s="4">
        <f>Raw_Data!K607</f>
        <v/>
      </c>
      <c r="L607" s="4">
        <f>IF(TRIM(Raw_Data!L607)="","No Coupon",TRIM(Raw_Data!L607))</f>
        <v/>
      </c>
      <c r="M607" s="4">
        <f>PROPER(TRIM(Raw_Data!M607))</f>
        <v/>
      </c>
      <c r="N607" s="6">
        <f>ROUND(Raw_Data!N607,2)</f>
        <v/>
      </c>
      <c r="O607" s="7">
        <f>IF(COUNTIF($A$2:$A$1201,A607)&gt;1,"DUPLICATE","Unique")</f>
        <v/>
      </c>
      <c r="P607" s="7">
        <f>IF(COUNTIF($J$2:$J$1201,J607)&gt;1,"DUPLICATE","Unique")</f>
        <v/>
      </c>
      <c r="Q607" s="4">
        <f>IF(TRIM(Raw_Data!L607)="","Yes","No")</f>
        <v/>
      </c>
      <c r="R607" s="4">
        <f>IF(ISNUMBER(B607),"Valid","INVALID")</f>
        <v/>
      </c>
    </row>
    <row r="608">
      <c r="A608" s="4">
        <f>TRIM(Raw_Data!A608)</f>
        <v/>
      </c>
      <c r="B608" s="5">
        <f>Raw_Data!B608</f>
        <v/>
      </c>
      <c r="C608" s="4">
        <f>TRIM(Raw_Data!C608)</f>
        <v/>
      </c>
      <c r="D608" s="4">
        <f>PROPER(TRIM(Raw_Data!D608))</f>
        <v/>
      </c>
      <c r="E608" s="4">
        <f>Raw_Data!E608</f>
        <v/>
      </c>
      <c r="F608" s="6">
        <f>ROUND(Raw_Data!F608,2)</f>
        <v/>
      </c>
      <c r="G608" s="4">
        <f>PROPER(TRIM(Raw_Data!G608))</f>
        <v/>
      </c>
      <c r="H608" s="4">
        <f>PROPER(TRIM(Raw_Data!H608))</f>
        <v/>
      </c>
      <c r="I608" s="4">
        <f>PROPER(TRIM(Raw_Data!I608))</f>
        <v/>
      </c>
      <c r="J608" s="4">
        <f>TRIM(Raw_Data!J608)</f>
        <v/>
      </c>
      <c r="K608" s="4">
        <f>Raw_Data!K608</f>
        <v/>
      </c>
      <c r="L608" s="4">
        <f>IF(TRIM(Raw_Data!L608)="","No Coupon",TRIM(Raw_Data!L608))</f>
        <v/>
      </c>
      <c r="M608" s="4">
        <f>PROPER(TRIM(Raw_Data!M608))</f>
        <v/>
      </c>
      <c r="N608" s="6">
        <f>ROUND(Raw_Data!N608,2)</f>
        <v/>
      </c>
      <c r="O608" s="7">
        <f>IF(COUNTIF($A$2:$A$1201,A608)&gt;1,"DUPLICATE","Unique")</f>
        <v/>
      </c>
      <c r="P608" s="7">
        <f>IF(COUNTIF($J$2:$J$1201,J608)&gt;1,"DUPLICATE","Unique")</f>
        <v/>
      </c>
      <c r="Q608" s="4">
        <f>IF(TRIM(Raw_Data!L608)="","Yes","No")</f>
        <v/>
      </c>
      <c r="R608" s="4">
        <f>IF(ISNUMBER(B608),"Valid","INVALID")</f>
        <v/>
      </c>
    </row>
    <row r="609">
      <c r="A609" s="4">
        <f>TRIM(Raw_Data!A609)</f>
        <v/>
      </c>
      <c r="B609" s="5">
        <f>Raw_Data!B609</f>
        <v/>
      </c>
      <c r="C609" s="4">
        <f>TRIM(Raw_Data!C609)</f>
        <v/>
      </c>
      <c r="D609" s="4">
        <f>PROPER(TRIM(Raw_Data!D609))</f>
        <v/>
      </c>
      <c r="E609" s="4">
        <f>Raw_Data!E609</f>
        <v/>
      </c>
      <c r="F609" s="6">
        <f>ROUND(Raw_Data!F609,2)</f>
        <v/>
      </c>
      <c r="G609" s="4">
        <f>PROPER(TRIM(Raw_Data!G609))</f>
        <v/>
      </c>
      <c r="H609" s="4">
        <f>PROPER(TRIM(Raw_Data!H609))</f>
        <v/>
      </c>
      <c r="I609" s="4">
        <f>PROPER(TRIM(Raw_Data!I609))</f>
        <v/>
      </c>
      <c r="J609" s="4">
        <f>TRIM(Raw_Data!J609)</f>
        <v/>
      </c>
      <c r="K609" s="4">
        <f>Raw_Data!K609</f>
        <v/>
      </c>
      <c r="L609" s="4">
        <f>IF(TRIM(Raw_Data!L609)="","No Coupon",TRIM(Raw_Data!L609))</f>
        <v/>
      </c>
      <c r="M609" s="4">
        <f>PROPER(TRIM(Raw_Data!M609))</f>
        <v/>
      </c>
      <c r="N609" s="6">
        <f>ROUND(Raw_Data!N609,2)</f>
        <v/>
      </c>
      <c r="O609" s="7">
        <f>IF(COUNTIF($A$2:$A$1201,A609)&gt;1,"DUPLICATE","Unique")</f>
        <v/>
      </c>
      <c r="P609" s="7">
        <f>IF(COUNTIF($J$2:$J$1201,J609)&gt;1,"DUPLICATE","Unique")</f>
        <v/>
      </c>
      <c r="Q609" s="4">
        <f>IF(TRIM(Raw_Data!L609)="","Yes","No")</f>
        <v/>
      </c>
      <c r="R609" s="4">
        <f>IF(ISNUMBER(B609),"Valid","INVALID")</f>
        <v/>
      </c>
    </row>
    <row r="610">
      <c r="A610" s="4">
        <f>TRIM(Raw_Data!A610)</f>
        <v/>
      </c>
      <c r="B610" s="5">
        <f>Raw_Data!B610</f>
        <v/>
      </c>
      <c r="C610" s="4">
        <f>TRIM(Raw_Data!C610)</f>
        <v/>
      </c>
      <c r="D610" s="4">
        <f>PROPER(TRIM(Raw_Data!D610))</f>
        <v/>
      </c>
      <c r="E610" s="4">
        <f>Raw_Data!E610</f>
        <v/>
      </c>
      <c r="F610" s="6">
        <f>ROUND(Raw_Data!F610,2)</f>
        <v/>
      </c>
      <c r="G610" s="4">
        <f>PROPER(TRIM(Raw_Data!G610))</f>
        <v/>
      </c>
      <c r="H610" s="4">
        <f>PROPER(TRIM(Raw_Data!H610))</f>
        <v/>
      </c>
      <c r="I610" s="4">
        <f>PROPER(TRIM(Raw_Data!I610))</f>
        <v/>
      </c>
      <c r="J610" s="4">
        <f>TRIM(Raw_Data!J610)</f>
        <v/>
      </c>
      <c r="K610" s="4">
        <f>Raw_Data!K610</f>
        <v/>
      </c>
      <c r="L610" s="4">
        <f>IF(TRIM(Raw_Data!L610)="","No Coupon",TRIM(Raw_Data!L610))</f>
        <v/>
      </c>
      <c r="M610" s="4">
        <f>PROPER(TRIM(Raw_Data!M610))</f>
        <v/>
      </c>
      <c r="N610" s="6">
        <f>ROUND(Raw_Data!N610,2)</f>
        <v/>
      </c>
      <c r="O610" s="7">
        <f>IF(COUNTIF($A$2:$A$1201,A610)&gt;1,"DUPLICATE","Unique")</f>
        <v/>
      </c>
      <c r="P610" s="7">
        <f>IF(COUNTIF($J$2:$J$1201,J610)&gt;1,"DUPLICATE","Unique")</f>
        <v/>
      </c>
      <c r="Q610" s="4">
        <f>IF(TRIM(Raw_Data!L610)="","Yes","No")</f>
        <v/>
      </c>
      <c r="R610" s="4">
        <f>IF(ISNUMBER(B610),"Valid","INVALID")</f>
        <v/>
      </c>
    </row>
    <row r="611">
      <c r="A611" s="4">
        <f>TRIM(Raw_Data!A611)</f>
        <v/>
      </c>
      <c r="B611" s="5">
        <f>Raw_Data!B611</f>
        <v/>
      </c>
      <c r="C611" s="4">
        <f>TRIM(Raw_Data!C611)</f>
        <v/>
      </c>
      <c r="D611" s="4">
        <f>PROPER(TRIM(Raw_Data!D611))</f>
        <v/>
      </c>
      <c r="E611" s="4">
        <f>Raw_Data!E611</f>
        <v/>
      </c>
      <c r="F611" s="6">
        <f>ROUND(Raw_Data!F611,2)</f>
        <v/>
      </c>
      <c r="G611" s="4">
        <f>PROPER(TRIM(Raw_Data!G611))</f>
        <v/>
      </c>
      <c r="H611" s="4">
        <f>PROPER(TRIM(Raw_Data!H611))</f>
        <v/>
      </c>
      <c r="I611" s="4">
        <f>PROPER(TRIM(Raw_Data!I611))</f>
        <v/>
      </c>
      <c r="J611" s="4">
        <f>TRIM(Raw_Data!J611)</f>
        <v/>
      </c>
      <c r="K611" s="4">
        <f>Raw_Data!K611</f>
        <v/>
      </c>
      <c r="L611" s="4">
        <f>IF(TRIM(Raw_Data!L611)="","No Coupon",TRIM(Raw_Data!L611))</f>
        <v/>
      </c>
      <c r="M611" s="4">
        <f>PROPER(TRIM(Raw_Data!M611))</f>
        <v/>
      </c>
      <c r="N611" s="6">
        <f>ROUND(Raw_Data!N611,2)</f>
        <v/>
      </c>
      <c r="O611" s="7">
        <f>IF(COUNTIF($A$2:$A$1201,A611)&gt;1,"DUPLICATE","Unique")</f>
        <v/>
      </c>
      <c r="P611" s="7">
        <f>IF(COUNTIF($J$2:$J$1201,J611)&gt;1,"DUPLICATE","Unique")</f>
        <v/>
      </c>
      <c r="Q611" s="4">
        <f>IF(TRIM(Raw_Data!L611)="","Yes","No")</f>
        <v/>
      </c>
      <c r="R611" s="4">
        <f>IF(ISNUMBER(B611),"Valid","INVALID")</f>
        <v/>
      </c>
    </row>
    <row r="612">
      <c r="A612" s="4">
        <f>TRIM(Raw_Data!A612)</f>
        <v/>
      </c>
      <c r="B612" s="5">
        <f>Raw_Data!B612</f>
        <v/>
      </c>
      <c r="C612" s="4">
        <f>TRIM(Raw_Data!C612)</f>
        <v/>
      </c>
      <c r="D612" s="4">
        <f>PROPER(TRIM(Raw_Data!D612))</f>
        <v/>
      </c>
      <c r="E612" s="4">
        <f>Raw_Data!E612</f>
        <v/>
      </c>
      <c r="F612" s="6">
        <f>ROUND(Raw_Data!F612,2)</f>
        <v/>
      </c>
      <c r="G612" s="4">
        <f>PROPER(TRIM(Raw_Data!G612))</f>
        <v/>
      </c>
      <c r="H612" s="4">
        <f>PROPER(TRIM(Raw_Data!H612))</f>
        <v/>
      </c>
      <c r="I612" s="4">
        <f>PROPER(TRIM(Raw_Data!I612))</f>
        <v/>
      </c>
      <c r="J612" s="4">
        <f>TRIM(Raw_Data!J612)</f>
        <v/>
      </c>
      <c r="K612" s="4">
        <f>Raw_Data!K612</f>
        <v/>
      </c>
      <c r="L612" s="4">
        <f>IF(TRIM(Raw_Data!L612)="","No Coupon",TRIM(Raw_Data!L612))</f>
        <v/>
      </c>
      <c r="M612" s="4">
        <f>PROPER(TRIM(Raw_Data!M612))</f>
        <v/>
      </c>
      <c r="N612" s="6">
        <f>ROUND(Raw_Data!N612,2)</f>
        <v/>
      </c>
      <c r="O612" s="7">
        <f>IF(COUNTIF($A$2:$A$1201,A612)&gt;1,"DUPLICATE","Unique")</f>
        <v/>
      </c>
      <c r="P612" s="7">
        <f>IF(COUNTIF($J$2:$J$1201,J612)&gt;1,"DUPLICATE","Unique")</f>
        <v/>
      </c>
      <c r="Q612" s="4">
        <f>IF(TRIM(Raw_Data!L612)="","Yes","No")</f>
        <v/>
      </c>
      <c r="R612" s="4">
        <f>IF(ISNUMBER(B612),"Valid","INVALID")</f>
        <v/>
      </c>
    </row>
    <row r="613">
      <c r="A613" s="4">
        <f>TRIM(Raw_Data!A613)</f>
        <v/>
      </c>
      <c r="B613" s="5">
        <f>Raw_Data!B613</f>
        <v/>
      </c>
      <c r="C613" s="4">
        <f>TRIM(Raw_Data!C613)</f>
        <v/>
      </c>
      <c r="D613" s="4">
        <f>PROPER(TRIM(Raw_Data!D613))</f>
        <v/>
      </c>
      <c r="E613" s="4">
        <f>Raw_Data!E613</f>
        <v/>
      </c>
      <c r="F613" s="6">
        <f>ROUND(Raw_Data!F613,2)</f>
        <v/>
      </c>
      <c r="G613" s="4">
        <f>PROPER(TRIM(Raw_Data!G613))</f>
        <v/>
      </c>
      <c r="H613" s="4">
        <f>PROPER(TRIM(Raw_Data!H613))</f>
        <v/>
      </c>
      <c r="I613" s="4">
        <f>PROPER(TRIM(Raw_Data!I613))</f>
        <v/>
      </c>
      <c r="J613" s="4">
        <f>TRIM(Raw_Data!J613)</f>
        <v/>
      </c>
      <c r="K613" s="4">
        <f>Raw_Data!K613</f>
        <v/>
      </c>
      <c r="L613" s="4">
        <f>IF(TRIM(Raw_Data!L613)="","No Coupon",TRIM(Raw_Data!L613))</f>
        <v/>
      </c>
      <c r="M613" s="4">
        <f>PROPER(TRIM(Raw_Data!M613))</f>
        <v/>
      </c>
      <c r="N613" s="6">
        <f>ROUND(Raw_Data!N613,2)</f>
        <v/>
      </c>
      <c r="O613" s="7">
        <f>IF(COUNTIF($A$2:$A$1201,A613)&gt;1,"DUPLICATE","Unique")</f>
        <v/>
      </c>
      <c r="P613" s="7">
        <f>IF(COUNTIF($J$2:$J$1201,J613)&gt;1,"DUPLICATE","Unique")</f>
        <v/>
      </c>
      <c r="Q613" s="4">
        <f>IF(TRIM(Raw_Data!L613)="","Yes","No")</f>
        <v/>
      </c>
      <c r="R613" s="4">
        <f>IF(ISNUMBER(B613),"Valid","INVALID")</f>
        <v/>
      </c>
    </row>
    <row r="614">
      <c r="A614" s="4">
        <f>TRIM(Raw_Data!A614)</f>
        <v/>
      </c>
      <c r="B614" s="5">
        <f>Raw_Data!B614</f>
        <v/>
      </c>
      <c r="C614" s="4">
        <f>TRIM(Raw_Data!C614)</f>
        <v/>
      </c>
      <c r="D614" s="4">
        <f>PROPER(TRIM(Raw_Data!D614))</f>
        <v/>
      </c>
      <c r="E614" s="4">
        <f>Raw_Data!E614</f>
        <v/>
      </c>
      <c r="F614" s="6">
        <f>ROUND(Raw_Data!F614,2)</f>
        <v/>
      </c>
      <c r="G614" s="4">
        <f>PROPER(TRIM(Raw_Data!G614))</f>
        <v/>
      </c>
      <c r="H614" s="4">
        <f>PROPER(TRIM(Raw_Data!H614))</f>
        <v/>
      </c>
      <c r="I614" s="4">
        <f>PROPER(TRIM(Raw_Data!I614))</f>
        <v/>
      </c>
      <c r="J614" s="4">
        <f>TRIM(Raw_Data!J614)</f>
        <v/>
      </c>
      <c r="K614" s="4">
        <f>Raw_Data!K614</f>
        <v/>
      </c>
      <c r="L614" s="4">
        <f>IF(TRIM(Raw_Data!L614)="","No Coupon",TRIM(Raw_Data!L614))</f>
        <v/>
      </c>
      <c r="M614" s="4">
        <f>PROPER(TRIM(Raw_Data!M614))</f>
        <v/>
      </c>
      <c r="N614" s="6">
        <f>ROUND(Raw_Data!N614,2)</f>
        <v/>
      </c>
      <c r="O614" s="7">
        <f>IF(COUNTIF($A$2:$A$1201,A614)&gt;1,"DUPLICATE","Unique")</f>
        <v/>
      </c>
      <c r="P614" s="7">
        <f>IF(COUNTIF($J$2:$J$1201,J614)&gt;1,"DUPLICATE","Unique")</f>
        <v/>
      </c>
      <c r="Q614" s="4">
        <f>IF(TRIM(Raw_Data!L614)="","Yes","No")</f>
        <v/>
      </c>
      <c r="R614" s="4">
        <f>IF(ISNUMBER(B614),"Valid","INVALID")</f>
        <v/>
      </c>
    </row>
    <row r="615">
      <c r="A615" s="4">
        <f>TRIM(Raw_Data!A615)</f>
        <v/>
      </c>
      <c r="B615" s="5">
        <f>Raw_Data!B615</f>
        <v/>
      </c>
      <c r="C615" s="4">
        <f>TRIM(Raw_Data!C615)</f>
        <v/>
      </c>
      <c r="D615" s="4">
        <f>PROPER(TRIM(Raw_Data!D615))</f>
        <v/>
      </c>
      <c r="E615" s="4">
        <f>Raw_Data!E615</f>
        <v/>
      </c>
      <c r="F615" s="6">
        <f>ROUND(Raw_Data!F615,2)</f>
        <v/>
      </c>
      <c r="G615" s="4">
        <f>PROPER(TRIM(Raw_Data!G615))</f>
        <v/>
      </c>
      <c r="H615" s="4">
        <f>PROPER(TRIM(Raw_Data!H615))</f>
        <v/>
      </c>
      <c r="I615" s="4">
        <f>PROPER(TRIM(Raw_Data!I615))</f>
        <v/>
      </c>
      <c r="J615" s="4">
        <f>TRIM(Raw_Data!J615)</f>
        <v/>
      </c>
      <c r="K615" s="4">
        <f>Raw_Data!K615</f>
        <v/>
      </c>
      <c r="L615" s="4">
        <f>IF(TRIM(Raw_Data!L615)="","No Coupon",TRIM(Raw_Data!L615))</f>
        <v/>
      </c>
      <c r="M615" s="4">
        <f>PROPER(TRIM(Raw_Data!M615))</f>
        <v/>
      </c>
      <c r="N615" s="6">
        <f>ROUND(Raw_Data!N615,2)</f>
        <v/>
      </c>
      <c r="O615" s="7">
        <f>IF(COUNTIF($A$2:$A$1201,A615)&gt;1,"DUPLICATE","Unique")</f>
        <v/>
      </c>
      <c r="P615" s="7">
        <f>IF(COUNTIF($J$2:$J$1201,J615)&gt;1,"DUPLICATE","Unique")</f>
        <v/>
      </c>
      <c r="Q615" s="4">
        <f>IF(TRIM(Raw_Data!L615)="","Yes","No")</f>
        <v/>
      </c>
      <c r="R615" s="4">
        <f>IF(ISNUMBER(B615),"Valid","INVALID")</f>
        <v/>
      </c>
    </row>
    <row r="616">
      <c r="A616" s="4">
        <f>TRIM(Raw_Data!A616)</f>
        <v/>
      </c>
      <c r="B616" s="5">
        <f>Raw_Data!B616</f>
        <v/>
      </c>
      <c r="C616" s="4">
        <f>TRIM(Raw_Data!C616)</f>
        <v/>
      </c>
      <c r="D616" s="4">
        <f>PROPER(TRIM(Raw_Data!D616))</f>
        <v/>
      </c>
      <c r="E616" s="4">
        <f>Raw_Data!E616</f>
        <v/>
      </c>
      <c r="F616" s="6">
        <f>ROUND(Raw_Data!F616,2)</f>
        <v/>
      </c>
      <c r="G616" s="4">
        <f>PROPER(TRIM(Raw_Data!G616))</f>
        <v/>
      </c>
      <c r="H616" s="4">
        <f>PROPER(TRIM(Raw_Data!H616))</f>
        <v/>
      </c>
      <c r="I616" s="4">
        <f>PROPER(TRIM(Raw_Data!I616))</f>
        <v/>
      </c>
      <c r="J616" s="4">
        <f>TRIM(Raw_Data!J616)</f>
        <v/>
      </c>
      <c r="K616" s="4">
        <f>Raw_Data!K616</f>
        <v/>
      </c>
      <c r="L616" s="4">
        <f>IF(TRIM(Raw_Data!L616)="","No Coupon",TRIM(Raw_Data!L616))</f>
        <v/>
      </c>
      <c r="M616" s="4">
        <f>PROPER(TRIM(Raw_Data!M616))</f>
        <v/>
      </c>
      <c r="N616" s="6">
        <f>ROUND(Raw_Data!N616,2)</f>
        <v/>
      </c>
      <c r="O616" s="7">
        <f>IF(COUNTIF($A$2:$A$1201,A616)&gt;1,"DUPLICATE","Unique")</f>
        <v/>
      </c>
      <c r="P616" s="7">
        <f>IF(COUNTIF($J$2:$J$1201,J616)&gt;1,"DUPLICATE","Unique")</f>
        <v/>
      </c>
      <c r="Q616" s="4">
        <f>IF(TRIM(Raw_Data!L616)="","Yes","No")</f>
        <v/>
      </c>
      <c r="R616" s="4">
        <f>IF(ISNUMBER(B616),"Valid","INVALID")</f>
        <v/>
      </c>
    </row>
    <row r="617">
      <c r="A617" s="4">
        <f>TRIM(Raw_Data!A617)</f>
        <v/>
      </c>
      <c r="B617" s="5">
        <f>Raw_Data!B617</f>
        <v/>
      </c>
      <c r="C617" s="4">
        <f>TRIM(Raw_Data!C617)</f>
        <v/>
      </c>
      <c r="D617" s="4">
        <f>PROPER(TRIM(Raw_Data!D617))</f>
        <v/>
      </c>
      <c r="E617" s="4">
        <f>Raw_Data!E617</f>
        <v/>
      </c>
      <c r="F617" s="6">
        <f>ROUND(Raw_Data!F617,2)</f>
        <v/>
      </c>
      <c r="G617" s="4">
        <f>PROPER(TRIM(Raw_Data!G617))</f>
        <v/>
      </c>
      <c r="H617" s="4">
        <f>PROPER(TRIM(Raw_Data!H617))</f>
        <v/>
      </c>
      <c r="I617" s="4">
        <f>PROPER(TRIM(Raw_Data!I617))</f>
        <v/>
      </c>
      <c r="J617" s="4">
        <f>TRIM(Raw_Data!J617)</f>
        <v/>
      </c>
      <c r="K617" s="4">
        <f>Raw_Data!K617</f>
        <v/>
      </c>
      <c r="L617" s="4">
        <f>IF(TRIM(Raw_Data!L617)="","No Coupon",TRIM(Raw_Data!L617))</f>
        <v/>
      </c>
      <c r="M617" s="4">
        <f>PROPER(TRIM(Raw_Data!M617))</f>
        <v/>
      </c>
      <c r="N617" s="6">
        <f>ROUND(Raw_Data!N617,2)</f>
        <v/>
      </c>
      <c r="O617" s="7">
        <f>IF(COUNTIF($A$2:$A$1201,A617)&gt;1,"DUPLICATE","Unique")</f>
        <v/>
      </c>
      <c r="P617" s="7">
        <f>IF(COUNTIF($J$2:$J$1201,J617)&gt;1,"DUPLICATE","Unique")</f>
        <v/>
      </c>
      <c r="Q617" s="4">
        <f>IF(TRIM(Raw_Data!L617)="","Yes","No")</f>
        <v/>
      </c>
      <c r="R617" s="4">
        <f>IF(ISNUMBER(B617),"Valid","INVALID")</f>
        <v/>
      </c>
    </row>
    <row r="618">
      <c r="A618" s="4">
        <f>TRIM(Raw_Data!A618)</f>
        <v/>
      </c>
      <c r="B618" s="5">
        <f>Raw_Data!B618</f>
        <v/>
      </c>
      <c r="C618" s="4">
        <f>TRIM(Raw_Data!C618)</f>
        <v/>
      </c>
      <c r="D618" s="4">
        <f>PROPER(TRIM(Raw_Data!D618))</f>
        <v/>
      </c>
      <c r="E618" s="4">
        <f>Raw_Data!E618</f>
        <v/>
      </c>
      <c r="F618" s="6">
        <f>ROUND(Raw_Data!F618,2)</f>
        <v/>
      </c>
      <c r="G618" s="4">
        <f>PROPER(TRIM(Raw_Data!G618))</f>
        <v/>
      </c>
      <c r="H618" s="4">
        <f>PROPER(TRIM(Raw_Data!H618))</f>
        <v/>
      </c>
      <c r="I618" s="4">
        <f>PROPER(TRIM(Raw_Data!I618))</f>
        <v/>
      </c>
      <c r="J618" s="4">
        <f>TRIM(Raw_Data!J618)</f>
        <v/>
      </c>
      <c r="K618" s="4">
        <f>Raw_Data!K618</f>
        <v/>
      </c>
      <c r="L618" s="4">
        <f>IF(TRIM(Raw_Data!L618)="","No Coupon",TRIM(Raw_Data!L618))</f>
        <v/>
      </c>
      <c r="M618" s="4">
        <f>PROPER(TRIM(Raw_Data!M618))</f>
        <v/>
      </c>
      <c r="N618" s="6">
        <f>ROUND(Raw_Data!N618,2)</f>
        <v/>
      </c>
      <c r="O618" s="7">
        <f>IF(COUNTIF($A$2:$A$1201,A618)&gt;1,"DUPLICATE","Unique")</f>
        <v/>
      </c>
      <c r="P618" s="7">
        <f>IF(COUNTIF($J$2:$J$1201,J618)&gt;1,"DUPLICATE","Unique")</f>
        <v/>
      </c>
      <c r="Q618" s="4">
        <f>IF(TRIM(Raw_Data!L618)="","Yes","No")</f>
        <v/>
      </c>
      <c r="R618" s="4">
        <f>IF(ISNUMBER(B618),"Valid","INVALID")</f>
        <v/>
      </c>
    </row>
    <row r="619">
      <c r="A619" s="4">
        <f>TRIM(Raw_Data!A619)</f>
        <v/>
      </c>
      <c r="B619" s="5">
        <f>Raw_Data!B619</f>
        <v/>
      </c>
      <c r="C619" s="4">
        <f>TRIM(Raw_Data!C619)</f>
        <v/>
      </c>
      <c r="D619" s="4">
        <f>PROPER(TRIM(Raw_Data!D619))</f>
        <v/>
      </c>
      <c r="E619" s="4">
        <f>Raw_Data!E619</f>
        <v/>
      </c>
      <c r="F619" s="6">
        <f>ROUND(Raw_Data!F619,2)</f>
        <v/>
      </c>
      <c r="G619" s="4">
        <f>PROPER(TRIM(Raw_Data!G619))</f>
        <v/>
      </c>
      <c r="H619" s="4">
        <f>PROPER(TRIM(Raw_Data!H619))</f>
        <v/>
      </c>
      <c r="I619" s="4">
        <f>PROPER(TRIM(Raw_Data!I619))</f>
        <v/>
      </c>
      <c r="J619" s="4">
        <f>TRIM(Raw_Data!J619)</f>
        <v/>
      </c>
      <c r="K619" s="4">
        <f>Raw_Data!K619</f>
        <v/>
      </c>
      <c r="L619" s="4">
        <f>IF(TRIM(Raw_Data!L619)="","No Coupon",TRIM(Raw_Data!L619))</f>
        <v/>
      </c>
      <c r="M619" s="4">
        <f>PROPER(TRIM(Raw_Data!M619))</f>
        <v/>
      </c>
      <c r="N619" s="6">
        <f>ROUND(Raw_Data!N619,2)</f>
        <v/>
      </c>
      <c r="O619" s="7">
        <f>IF(COUNTIF($A$2:$A$1201,A619)&gt;1,"DUPLICATE","Unique")</f>
        <v/>
      </c>
      <c r="P619" s="7">
        <f>IF(COUNTIF($J$2:$J$1201,J619)&gt;1,"DUPLICATE","Unique")</f>
        <v/>
      </c>
      <c r="Q619" s="4">
        <f>IF(TRIM(Raw_Data!L619)="","Yes","No")</f>
        <v/>
      </c>
      <c r="R619" s="4">
        <f>IF(ISNUMBER(B619),"Valid","INVALID")</f>
        <v/>
      </c>
    </row>
    <row r="620">
      <c r="A620" s="4">
        <f>TRIM(Raw_Data!A620)</f>
        <v/>
      </c>
      <c r="B620" s="5">
        <f>Raw_Data!B620</f>
        <v/>
      </c>
      <c r="C620" s="4">
        <f>TRIM(Raw_Data!C620)</f>
        <v/>
      </c>
      <c r="D620" s="4">
        <f>PROPER(TRIM(Raw_Data!D620))</f>
        <v/>
      </c>
      <c r="E620" s="4">
        <f>Raw_Data!E620</f>
        <v/>
      </c>
      <c r="F620" s="6">
        <f>ROUND(Raw_Data!F620,2)</f>
        <v/>
      </c>
      <c r="G620" s="4">
        <f>PROPER(TRIM(Raw_Data!G620))</f>
        <v/>
      </c>
      <c r="H620" s="4">
        <f>PROPER(TRIM(Raw_Data!H620))</f>
        <v/>
      </c>
      <c r="I620" s="4">
        <f>PROPER(TRIM(Raw_Data!I620))</f>
        <v/>
      </c>
      <c r="J620" s="4">
        <f>TRIM(Raw_Data!J620)</f>
        <v/>
      </c>
      <c r="K620" s="4">
        <f>Raw_Data!K620</f>
        <v/>
      </c>
      <c r="L620" s="4">
        <f>IF(TRIM(Raw_Data!L620)="","No Coupon",TRIM(Raw_Data!L620))</f>
        <v/>
      </c>
      <c r="M620" s="4">
        <f>PROPER(TRIM(Raw_Data!M620))</f>
        <v/>
      </c>
      <c r="N620" s="6">
        <f>ROUND(Raw_Data!N620,2)</f>
        <v/>
      </c>
      <c r="O620" s="7">
        <f>IF(COUNTIF($A$2:$A$1201,A620)&gt;1,"DUPLICATE","Unique")</f>
        <v/>
      </c>
      <c r="P620" s="7">
        <f>IF(COUNTIF($J$2:$J$1201,J620)&gt;1,"DUPLICATE","Unique")</f>
        <v/>
      </c>
      <c r="Q620" s="4">
        <f>IF(TRIM(Raw_Data!L620)="","Yes","No")</f>
        <v/>
      </c>
      <c r="R620" s="4">
        <f>IF(ISNUMBER(B620),"Valid","INVALID")</f>
        <v/>
      </c>
    </row>
    <row r="621">
      <c r="A621" s="4">
        <f>TRIM(Raw_Data!A621)</f>
        <v/>
      </c>
      <c r="B621" s="5">
        <f>Raw_Data!B621</f>
        <v/>
      </c>
      <c r="C621" s="4">
        <f>TRIM(Raw_Data!C621)</f>
        <v/>
      </c>
      <c r="D621" s="4">
        <f>PROPER(TRIM(Raw_Data!D621))</f>
        <v/>
      </c>
      <c r="E621" s="4">
        <f>Raw_Data!E621</f>
        <v/>
      </c>
      <c r="F621" s="6">
        <f>ROUND(Raw_Data!F621,2)</f>
        <v/>
      </c>
      <c r="G621" s="4">
        <f>PROPER(TRIM(Raw_Data!G621))</f>
        <v/>
      </c>
      <c r="H621" s="4">
        <f>PROPER(TRIM(Raw_Data!H621))</f>
        <v/>
      </c>
      <c r="I621" s="4">
        <f>PROPER(TRIM(Raw_Data!I621))</f>
        <v/>
      </c>
      <c r="J621" s="4">
        <f>TRIM(Raw_Data!J621)</f>
        <v/>
      </c>
      <c r="K621" s="4">
        <f>Raw_Data!K621</f>
        <v/>
      </c>
      <c r="L621" s="4">
        <f>IF(TRIM(Raw_Data!L621)="","No Coupon",TRIM(Raw_Data!L621))</f>
        <v/>
      </c>
      <c r="M621" s="4">
        <f>PROPER(TRIM(Raw_Data!M621))</f>
        <v/>
      </c>
      <c r="N621" s="6">
        <f>ROUND(Raw_Data!N621,2)</f>
        <v/>
      </c>
      <c r="O621" s="7">
        <f>IF(COUNTIF($A$2:$A$1201,A621)&gt;1,"DUPLICATE","Unique")</f>
        <v/>
      </c>
      <c r="P621" s="7">
        <f>IF(COUNTIF($J$2:$J$1201,J621)&gt;1,"DUPLICATE","Unique")</f>
        <v/>
      </c>
      <c r="Q621" s="4">
        <f>IF(TRIM(Raw_Data!L621)="","Yes","No")</f>
        <v/>
      </c>
      <c r="R621" s="4">
        <f>IF(ISNUMBER(B621),"Valid","INVALID")</f>
        <v/>
      </c>
    </row>
    <row r="622">
      <c r="A622" s="4">
        <f>TRIM(Raw_Data!A622)</f>
        <v/>
      </c>
      <c r="B622" s="5">
        <f>Raw_Data!B622</f>
        <v/>
      </c>
      <c r="C622" s="4">
        <f>TRIM(Raw_Data!C622)</f>
        <v/>
      </c>
      <c r="D622" s="4">
        <f>PROPER(TRIM(Raw_Data!D622))</f>
        <v/>
      </c>
      <c r="E622" s="4">
        <f>Raw_Data!E622</f>
        <v/>
      </c>
      <c r="F622" s="6">
        <f>ROUND(Raw_Data!F622,2)</f>
        <v/>
      </c>
      <c r="G622" s="4">
        <f>PROPER(TRIM(Raw_Data!G622))</f>
        <v/>
      </c>
      <c r="H622" s="4">
        <f>PROPER(TRIM(Raw_Data!H622))</f>
        <v/>
      </c>
      <c r="I622" s="4">
        <f>PROPER(TRIM(Raw_Data!I622))</f>
        <v/>
      </c>
      <c r="J622" s="4">
        <f>TRIM(Raw_Data!J622)</f>
        <v/>
      </c>
      <c r="K622" s="4">
        <f>Raw_Data!K622</f>
        <v/>
      </c>
      <c r="L622" s="4">
        <f>IF(TRIM(Raw_Data!L622)="","No Coupon",TRIM(Raw_Data!L622))</f>
        <v/>
      </c>
      <c r="M622" s="4">
        <f>PROPER(TRIM(Raw_Data!M622))</f>
        <v/>
      </c>
      <c r="N622" s="6">
        <f>ROUND(Raw_Data!N622,2)</f>
        <v/>
      </c>
      <c r="O622" s="7">
        <f>IF(COUNTIF($A$2:$A$1201,A622)&gt;1,"DUPLICATE","Unique")</f>
        <v/>
      </c>
      <c r="P622" s="7">
        <f>IF(COUNTIF($J$2:$J$1201,J622)&gt;1,"DUPLICATE","Unique")</f>
        <v/>
      </c>
      <c r="Q622" s="4">
        <f>IF(TRIM(Raw_Data!L622)="","Yes","No")</f>
        <v/>
      </c>
      <c r="R622" s="4">
        <f>IF(ISNUMBER(B622),"Valid","INVALID")</f>
        <v/>
      </c>
    </row>
    <row r="623">
      <c r="A623" s="4">
        <f>TRIM(Raw_Data!A623)</f>
        <v/>
      </c>
      <c r="B623" s="5">
        <f>Raw_Data!B623</f>
        <v/>
      </c>
      <c r="C623" s="4">
        <f>TRIM(Raw_Data!C623)</f>
        <v/>
      </c>
      <c r="D623" s="4">
        <f>PROPER(TRIM(Raw_Data!D623))</f>
        <v/>
      </c>
      <c r="E623" s="4">
        <f>Raw_Data!E623</f>
        <v/>
      </c>
      <c r="F623" s="6">
        <f>ROUND(Raw_Data!F623,2)</f>
        <v/>
      </c>
      <c r="G623" s="4">
        <f>PROPER(TRIM(Raw_Data!G623))</f>
        <v/>
      </c>
      <c r="H623" s="4">
        <f>PROPER(TRIM(Raw_Data!H623))</f>
        <v/>
      </c>
      <c r="I623" s="4">
        <f>PROPER(TRIM(Raw_Data!I623))</f>
        <v/>
      </c>
      <c r="J623" s="4">
        <f>TRIM(Raw_Data!J623)</f>
        <v/>
      </c>
      <c r="K623" s="4">
        <f>Raw_Data!K623</f>
        <v/>
      </c>
      <c r="L623" s="4">
        <f>IF(TRIM(Raw_Data!L623)="","No Coupon",TRIM(Raw_Data!L623))</f>
        <v/>
      </c>
      <c r="M623" s="4">
        <f>PROPER(TRIM(Raw_Data!M623))</f>
        <v/>
      </c>
      <c r="N623" s="6">
        <f>ROUND(Raw_Data!N623,2)</f>
        <v/>
      </c>
      <c r="O623" s="7">
        <f>IF(COUNTIF($A$2:$A$1201,A623)&gt;1,"DUPLICATE","Unique")</f>
        <v/>
      </c>
      <c r="P623" s="7">
        <f>IF(COUNTIF($J$2:$J$1201,J623)&gt;1,"DUPLICATE","Unique")</f>
        <v/>
      </c>
      <c r="Q623" s="4">
        <f>IF(TRIM(Raw_Data!L623)="","Yes","No")</f>
        <v/>
      </c>
      <c r="R623" s="4">
        <f>IF(ISNUMBER(B623),"Valid","INVALID")</f>
        <v/>
      </c>
    </row>
    <row r="624">
      <c r="A624" s="4">
        <f>TRIM(Raw_Data!A624)</f>
        <v/>
      </c>
      <c r="B624" s="5">
        <f>Raw_Data!B624</f>
        <v/>
      </c>
      <c r="C624" s="4">
        <f>TRIM(Raw_Data!C624)</f>
        <v/>
      </c>
      <c r="D624" s="4">
        <f>PROPER(TRIM(Raw_Data!D624))</f>
        <v/>
      </c>
      <c r="E624" s="4">
        <f>Raw_Data!E624</f>
        <v/>
      </c>
      <c r="F624" s="6">
        <f>ROUND(Raw_Data!F624,2)</f>
        <v/>
      </c>
      <c r="G624" s="4">
        <f>PROPER(TRIM(Raw_Data!G624))</f>
        <v/>
      </c>
      <c r="H624" s="4">
        <f>PROPER(TRIM(Raw_Data!H624))</f>
        <v/>
      </c>
      <c r="I624" s="4">
        <f>PROPER(TRIM(Raw_Data!I624))</f>
        <v/>
      </c>
      <c r="J624" s="4">
        <f>TRIM(Raw_Data!J624)</f>
        <v/>
      </c>
      <c r="K624" s="4">
        <f>Raw_Data!K624</f>
        <v/>
      </c>
      <c r="L624" s="4">
        <f>IF(TRIM(Raw_Data!L624)="","No Coupon",TRIM(Raw_Data!L624))</f>
        <v/>
      </c>
      <c r="M624" s="4">
        <f>PROPER(TRIM(Raw_Data!M624))</f>
        <v/>
      </c>
      <c r="N624" s="6">
        <f>ROUND(Raw_Data!N624,2)</f>
        <v/>
      </c>
      <c r="O624" s="7">
        <f>IF(COUNTIF($A$2:$A$1201,A624)&gt;1,"DUPLICATE","Unique")</f>
        <v/>
      </c>
      <c r="P624" s="7">
        <f>IF(COUNTIF($J$2:$J$1201,J624)&gt;1,"DUPLICATE","Unique")</f>
        <v/>
      </c>
      <c r="Q624" s="4">
        <f>IF(TRIM(Raw_Data!L624)="","Yes","No")</f>
        <v/>
      </c>
      <c r="R624" s="4">
        <f>IF(ISNUMBER(B624),"Valid","INVALID")</f>
        <v/>
      </c>
    </row>
    <row r="625">
      <c r="A625" s="4">
        <f>TRIM(Raw_Data!A625)</f>
        <v/>
      </c>
      <c r="B625" s="5">
        <f>Raw_Data!B625</f>
        <v/>
      </c>
      <c r="C625" s="4">
        <f>TRIM(Raw_Data!C625)</f>
        <v/>
      </c>
      <c r="D625" s="4">
        <f>PROPER(TRIM(Raw_Data!D625))</f>
        <v/>
      </c>
      <c r="E625" s="4">
        <f>Raw_Data!E625</f>
        <v/>
      </c>
      <c r="F625" s="6">
        <f>ROUND(Raw_Data!F625,2)</f>
        <v/>
      </c>
      <c r="G625" s="4">
        <f>PROPER(TRIM(Raw_Data!G625))</f>
        <v/>
      </c>
      <c r="H625" s="4">
        <f>PROPER(TRIM(Raw_Data!H625))</f>
        <v/>
      </c>
      <c r="I625" s="4">
        <f>PROPER(TRIM(Raw_Data!I625))</f>
        <v/>
      </c>
      <c r="J625" s="4">
        <f>TRIM(Raw_Data!J625)</f>
        <v/>
      </c>
      <c r="K625" s="4">
        <f>Raw_Data!K625</f>
        <v/>
      </c>
      <c r="L625" s="4">
        <f>IF(TRIM(Raw_Data!L625)="","No Coupon",TRIM(Raw_Data!L625))</f>
        <v/>
      </c>
      <c r="M625" s="4">
        <f>PROPER(TRIM(Raw_Data!M625))</f>
        <v/>
      </c>
      <c r="N625" s="6">
        <f>ROUND(Raw_Data!N625,2)</f>
        <v/>
      </c>
      <c r="O625" s="7">
        <f>IF(COUNTIF($A$2:$A$1201,A625)&gt;1,"DUPLICATE","Unique")</f>
        <v/>
      </c>
      <c r="P625" s="7">
        <f>IF(COUNTIF($J$2:$J$1201,J625)&gt;1,"DUPLICATE","Unique")</f>
        <v/>
      </c>
      <c r="Q625" s="4">
        <f>IF(TRIM(Raw_Data!L625)="","Yes","No")</f>
        <v/>
      </c>
      <c r="R625" s="4">
        <f>IF(ISNUMBER(B625),"Valid","INVALID")</f>
        <v/>
      </c>
    </row>
    <row r="626">
      <c r="A626" s="4">
        <f>TRIM(Raw_Data!A626)</f>
        <v/>
      </c>
      <c r="B626" s="5">
        <f>Raw_Data!B626</f>
        <v/>
      </c>
      <c r="C626" s="4">
        <f>TRIM(Raw_Data!C626)</f>
        <v/>
      </c>
      <c r="D626" s="4">
        <f>PROPER(TRIM(Raw_Data!D626))</f>
        <v/>
      </c>
      <c r="E626" s="4">
        <f>Raw_Data!E626</f>
        <v/>
      </c>
      <c r="F626" s="6">
        <f>ROUND(Raw_Data!F626,2)</f>
        <v/>
      </c>
      <c r="G626" s="4">
        <f>PROPER(TRIM(Raw_Data!G626))</f>
        <v/>
      </c>
      <c r="H626" s="4">
        <f>PROPER(TRIM(Raw_Data!H626))</f>
        <v/>
      </c>
      <c r="I626" s="4">
        <f>PROPER(TRIM(Raw_Data!I626))</f>
        <v/>
      </c>
      <c r="J626" s="4">
        <f>TRIM(Raw_Data!J626)</f>
        <v/>
      </c>
      <c r="K626" s="4">
        <f>Raw_Data!K626</f>
        <v/>
      </c>
      <c r="L626" s="4">
        <f>IF(TRIM(Raw_Data!L626)="","No Coupon",TRIM(Raw_Data!L626))</f>
        <v/>
      </c>
      <c r="M626" s="4">
        <f>PROPER(TRIM(Raw_Data!M626))</f>
        <v/>
      </c>
      <c r="N626" s="6">
        <f>ROUND(Raw_Data!N626,2)</f>
        <v/>
      </c>
      <c r="O626" s="7">
        <f>IF(COUNTIF($A$2:$A$1201,A626)&gt;1,"DUPLICATE","Unique")</f>
        <v/>
      </c>
      <c r="P626" s="7">
        <f>IF(COUNTIF($J$2:$J$1201,J626)&gt;1,"DUPLICATE","Unique")</f>
        <v/>
      </c>
      <c r="Q626" s="4">
        <f>IF(TRIM(Raw_Data!L626)="","Yes","No")</f>
        <v/>
      </c>
      <c r="R626" s="4">
        <f>IF(ISNUMBER(B626),"Valid","INVALID")</f>
        <v/>
      </c>
    </row>
    <row r="627">
      <c r="A627" s="4">
        <f>TRIM(Raw_Data!A627)</f>
        <v/>
      </c>
      <c r="B627" s="5">
        <f>Raw_Data!B627</f>
        <v/>
      </c>
      <c r="C627" s="4">
        <f>TRIM(Raw_Data!C627)</f>
        <v/>
      </c>
      <c r="D627" s="4">
        <f>PROPER(TRIM(Raw_Data!D627))</f>
        <v/>
      </c>
      <c r="E627" s="4">
        <f>Raw_Data!E627</f>
        <v/>
      </c>
      <c r="F627" s="6">
        <f>ROUND(Raw_Data!F627,2)</f>
        <v/>
      </c>
      <c r="G627" s="4">
        <f>PROPER(TRIM(Raw_Data!G627))</f>
        <v/>
      </c>
      <c r="H627" s="4">
        <f>PROPER(TRIM(Raw_Data!H627))</f>
        <v/>
      </c>
      <c r="I627" s="4">
        <f>PROPER(TRIM(Raw_Data!I627))</f>
        <v/>
      </c>
      <c r="J627" s="4">
        <f>TRIM(Raw_Data!J627)</f>
        <v/>
      </c>
      <c r="K627" s="4">
        <f>Raw_Data!K627</f>
        <v/>
      </c>
      <c r="L627" s="4">
        <f>IF(TRIM(Raw_Data!L627)="","No Coupon",TRIM(Raw_Data!L627))</f>
        <v/>
      </c>
      <c r="M627" s="4">
        <f>PROPER(TRIM(Raw_Data!M627))</f>
        <v/>
      </c>
      <c r="N627" s="6">
        <f>ROUND(Raw_Data!N627,2)</f>
        <v/>
      </c>
      <c r="O627" s="7">
        <f>IF(COUNTIF($A$2:$A$1201,A627)&gt;1,"DUPLICATE","Unique")</f>
        <v/>
      </c>
      <c r="P627" s="7">
        <f>IF(COUNTIF($J$2:$J$1201,J627)&gt;1,"DUPLICATE","Unique")</f>
        <v/>
      </c>
      <c r="Q627" s="4">
        <f>IF(TRIM(Raw_Data!L627)="","Yes","No")</f>
        <v/>
      </c>
      <c r="R627" s="4">
        <f>IF(ISNUMBER(B627),"Valid","INVALID")</f>
        <v/>
      </c>
    </row>
    <row r="628">
      <c r="A628" s="4">
        <f>TRIM(Raw_Data!A628)</f>
        <v/>
      </c>
      <c r="B628" s="5">
        <f>Raw_Data!B628</f>
        <v/>
      </c>
      <c r="C628" s="4">
        <f>TRIM(Raw_Data!C628)</f>
        <v/>
      </c>
      <c r="D628" s="4">
        <f>PROPER(TRIM(Raw_Data!D628))</f>
        <v/>
      </c>
      <c r="E628" s="4">
        <f>Raw_Data!E628</f>
        <v/>
      </c>
      <c r="F628" s="6">
        <f>ROUND(Raw_Data!F628,2)</f>
        <v/>
      </c>
      <c r="G628" s="4">
        <f>PROPER(TRIM(Raw_Data!G628))</f>
        <v/>
      </c>
      <c r="H628" s="4">
        <f>PROPER(TRIM(Raw_Data!H628))</f>
        <v/>
      </c>
      <c r="I628" s="4">
        <f>PROPER(TRIM(Raw_Data!I628))</f>
        <v/>
      </c>
      <c r="J628" s="4">
        <f>TRIM(Raw_Data!J628)</f>
        <v/>
      </c>
      <c r="K628" s="4">
        <f>Raw_Data!K628</f>
        <v/>
      </c>
      <c r="L628" s="4">
        <f>IF(TRIM(Raw_Data!L628)="","No Coupon",TRIM(Raw_Data!L628))</f>
        <v/>
      </c>
      <c r="M628" s="4">
        <f>PROPER(TRIM(Raw_Data!M628))</f>
        <v/>
      </c>
      <c r="N628" s="6">
        <f>ROUND(Raw_Data!N628,2)</f>
        <v/>
      </c>
      <c r="O628" s="7">
        <f>IF(COUNTIF($A$2:$A$1201,A628)&gt;1,"DUPLICATE","Unique")</f>
        <v/>
      </c>
      <c r="P628" s="7">
        <f>IF(COUNTIF($J$2:$J$1201,J628)&gt;1,"DUPLICATE","Unique")</f>
        <v/>
      </c>
      <c r="Q628" s="4">
        <f>IF(TRIM(Raw_Data!L628)="","Yes","No")</f>
        <v/>
      </c>
      <c r="R628" s="4">
        <f>IF(ISNUMBER(B628),"Valid","INVALID")</f>
        <v/>
      </c>
    </row>
    <row r="629">
      <c r="A629" s="4">
        <f>TRIM(Raw_Data!A629)</f>
        <v/>
      </c>
      <c r="B629" s="5">
        <f>Raw_Data!B629</f>
        <v/>
      </c>
      <c r="C629" s="4">
        <f>TRIM(Raw_Data!C629)</f>
        <v/>
      </c>
      <c r="D629" s="4">
        <f>PROPER(TRIM(Raw_Data!D629))</f>
        <v/>
      </c>
      <c r="E629" s="4">
        <f>Raw_Data!E629</f>
        <v/>
      </c>
      <c r="F629" s="6">
        <f>ROUND(Raw_Data!F629,2)</f>
        <v/>
      </c>
      <c r="G629" s="4">
        <f>PROPER(TRIM(Raw_Data!G629))</f>
        <v/>
      </c>
      <c r="H629" s="4">
        <f>PROPER(TRIM(Raw_Data!H629))</f>
        <v/>
      </c>
      <c r="I629" s="4">
        <f>PROPER(TRIM(Raw_Data!I629))</f>
        <v/>
      </c>
      <c r="J629" s="4">
        <f>TRIM(Raw_Data!J629)</f>
        <v/>
      </c>
      <c r="K629" s="4">
        <f>Raw_Data!K629</f>
        <v/>
      </c>
      <c r="L629" s="4">
        <f>IF(TRIM(Raw_Data!L629)="","No Coupon",TRIM(Raw_Data!L629))</f>
        <v/>
      </c>
      <c r="M629" s="4">
        <f>PROPER(TRIM(Raw_Data!M629))</f>
        <v/>
      </c>
      <c r="N629" s="6">
        <f>ROUND(Raw_Data!N629,2)</f>
        <v/>
      </c>
      <c r="O629" s="7">
        <f>IF(COUNTIF($A$2:$A$1201,A629)&gt;1,"DUPLICATE","Unique")</f>
        <v/>
      </c>
      <c r="P629" s="7">
        <f>IF(COUNTIF($J$2:$J$1201,J629)&gt;1,"DUPLICATE","Unique")</f>
        <v/>
      </c>
      <c r="Q629" s="4">
        <f>IF(TRIM(Raw_Data!L629)="","Yes","No")</f>
        <v/>
      </c>
      <c r="R629" s="4">
        <f>IF(ISNUMBER(B629),"Valid","INVALID")</f>
        <v/>
      </c>
    </row>
    <row r="630">
      <c r="A630" s="4">
        <f>TRIM(Raw_Data!A630)</f>
        <v/>
      </c>
      <c r="B630" s="5">
        <f>Raw_Data!B630</f>
        <v/>
      </c>
      <c r="C630" s="4">
        <f>TRIM(Raw_Data!C630)</f>
        <v/>
      </c>
      <c r="D630" s="4">
        <f>PROPER(TRIM(Raw_Data!D630))</f>
        <v/>
      </c>
      <c r="E630" s="4">
        <f>Raw_Data!E630</f>
        <v/>
      </c>
      <c r="F630" s="6">
        <f>ROUND(Raw_Data!F630,2)</f>
        <v/>
      </c>
      <c r="G630" s="4">
        <f>PROPER(TRIM(Raw_Data!G630))</f>
        <v/>
      </c>
      <c r="H630" s="4">
        <f>PROPER(TRIM(Raw_Data!H630))</f>
        <v/>
      </c>
      <c r="I630" s="4">
        <f>PROPER(TRIM(Raw_Data!I630))</f>
        <v/>
      </c>
      <c r="J630" s="4">
        <f>TRIM(Raw_Data!J630)</f>
        <v/>
      </c>
      <c r="K630" s="4">
        <f>Raw_Data!K630</f>
        <v/>
      </c>
      <c r="L630" s="4">
        <f>IF(TRIM(Raw_Data!L630)="","No Coupon",TRIM(Raw_Data!L630))</f>
        <v/>
      </c>
      <c r="M630" s="4">
        <f>PROPER(TRIM(Raw_Data!M630))</f>
        <v/>
      </c>
      <c r="N630" s="6">
        <f>ROUND(Raw_Data!N630,2)</f>
        <v/>
      </c>
      <c r="O630" s="7">
        <f>IF(COUNTIF($A$2:$A$1201,A630)&gt;1,"DUPLICATE","Unique")</f>
        <v/>
      </c>
      <c r="P630" s="7">
        <f>IF(COUNTIF($J$2:$J$1201,J630)&gt;1,"DUPLICATE","Unique")</f>
        <v/>
      </c>
      <c r="Q630" s="4">
        <f>IF(TRIM(Raw_Data!L630)="","Yes","No")</f>
        <v/>
      </c>
      <c r="R630" s="4">
        <f>IF(ISNUMBER(B630),"Valid","INVALID")</f>
        <v/>
      </c>
    </row>
    <row r="631">
      <c r="A631" s="4">
        <f>TRIM(Raw_Data!A631)</f>
        <v/>
      </c>
      <c r="B631" s="5">
        <f>Raw_Data!B631</f>
        <v/>
      </c>
      <c r="C631" s="4">
        <f>TRIM(Raw_Data!C631)</f>
        <v/>
      </c>
      <c r="D631" s="4">
        <f>PROPER(TRIM(Raw_Data!D631))</f>
        <v/>
      </c>
      <c r="E631" s="4">
        <f>Raw_Data!E631</f>
        <v/>
      </c>
      <c r="F631" s="6">
        <f>ROUND(Raw_Data!F631,2)</f>
        <v/>
      </c>
      <c r="G631" s="4">
        <f>PROPER(TRIM(Raw_Data!G631))</f>
        <v/>
      </c>
      <c r="H631" s="4">
        <f>PROPER(TRIM(Raw_Data!H631))</f>
        <v/>
      </c>
      <c r="I631" s="4">
        <f>PROPER(TRIM(Raw_Data!I631))</f>
        <v/>
      </c>
      <c r="J631" s="4">
        <f>TRIM(Raw_Data!J631)</f>
        <v/>
      </c>
      <c r="K631" s="4">
        <f>Raw_Data!K631</f>
        <v/>
      </c>
      <c r="L631" s="4">
        <f>IF(TRIM(Raw_Data!L631)="","No Coupon",TRIM(Raw_Data!L631))</f>
        <v/>
      </c>
      <c r="M631" s="4">
        <f>PROPER(TRIM(Raw_Data!M631))</f>
        <v/>
      </c>
      <c r="N631" s="6">
        <f>ROUND(Raw_Data!N631,2)</f>
        <v/>
      </c>
      <c r="O631" s="7">
        <f>IF(COUNTIF($A$2:$A$1201,A631)&gt;1,"DUPLICATE","Unique")</f>
        <v/>
      </c>
      <c r="P631" s="7">
        <f>IF(COUNTIF($J$2:$J$1201,J631)&gt;1,"DUPLICATE","Unique")</f>
        <v/>
      </c>
      <c r="Q631" s="4">
        <f>IF(TRIM(Raw_Data!L631)="","Yes","No")</f>
        <v/>
      </c>
      <c r="R631" s="4">
        <f>IF(ISNUMBER(B631),"Valid","INVALID")</f>
        <v/>
      </c>
    </row>
    <row r="632">
      <c r="A632" s="4">
        <f>TRIM(Raw_Data!A632)</f>
        <v/>
      </c>
      <c r="B632" s="5">
        <f>Raw_Data!B632</f>
        <v/>
      </c>
      <c r="C632" s="4">
        <f>TRIM(Raw_Data!C632)</f>
        <v/>
      </c>
      <c r="D632" s="4">
        <f>PROPER(TRIM(Raw_Data!D632))</f>
        <v/>
      </c>
      <c r="E632" s="4">
        <f>Raw_Data!E632</f>
        <v/>
      </c>
      <c r="F632" s="6">
        <f>ROUND(Raw_Data!F632,2)</f>
        <v/>
      </c>
      <c r="G632" s="4">
        <f>PROPER(TRIM(Raw_Data!G632))</f>
        <v/>
      </c>
      <c r="H632" s="4">
        <f>PROPER(TRIM(Raw_Data!H632))</f>
        <v/>
      </c>
      <c r="I632" s="4">
        <f>PROPER(TRIM(Raw_Data!I632))</f>
        <v/>
      </c>
      <c r="J632" s="4">
        <f>TRIM(Raw_Data!J632)</f>
        <v/>
      </c>
      <c r="K632" s="4">
        <f>Raw_Data!K632</f>
        <v/>
      </c>
      <c r="L632" s="4">
        <f>IF(TRIM(Raw_Data!L632)="","No Coupon",TRIM(Raw_Data!L632))</f>
        <v/>
      </c>
      <c r="M632" s="4">
        <f>PROPER(TRIM(Raw_Data!M632))</f>
        <v/>
      </c>
      <c r="N632" s="6">
        <f>ROUND(Raw_Data!N632,2)</f>
        <v/>
      </c>
      <c r="O632" s="7">
        <f>IF(COUNTIF($A$2:$A$1201,A632)&gt;1,"DUPLICATE","Unique")</f>
        <v/>
      </c>
      <c r="P632" s="7">
        <f>IF(COUNTIF($J$2:$J$1201,J632)&gt;1,"DUPLICATE","Unique")</f>
        <v/>
      </c>
      <c r="Q632" s="4">
        <f>IF(TRIM(Raw_Data!L632)="","Yes","No")</f>
        <v/>
      </c>
      <c r="R632" s="4">
        <f>IF(ISNUMBER(B632),"Valid","INVALID")</f>
        <v/>
      </c>
    </row>
    <row r="633">
      <c r="A633" s="4">
        <f>TRIM(Raw_Data!A633)</f>
        <v/>
      </c>
      <c r="B633" s="5">
        <f>Raw_Data!B633</f>
        <v/>
      </c>
      <c r="C633" s="4">
        <f>TRIM(Raw_Data!C633)</f>
        <v/>
      </c>
      <c r="D633" s="4">
        <f>PROPER(TRIM(Raw_Data!D633))</f>
        <v/>
      </c>
      <c r="E633" s="4">
        <f>Raw_Data!E633</f>
        <v/>
      </c>
      <c r="F633" s="6">
        <f>ROUND(Raw_Data!F633,2)</f>
        <v/>
      </c>
      <c r="G633" s="4">
        <f>PROPER(TRIM(Raw_Data!G633))</f>
        <v/>
      </c>
      <c r="H633" s="4">
        <f>PROPER(TRIM(Raw_Data!H633))</f>
        <v/>
      </c>
      <c r="I633" s="4">
        <f>PROPER(TRIM(Raw_Data!I633))</f>
        <v/>
      </c>
      <c r="J633" s="4">
        <f>TRIM(Raw_Data!J633)</f>
        <v/>
      </c>
      <c r="K633" s="4">
        <f>Raw_Data!K633</f>
        <v/>
      </c>
      <c r="L633" s="4">
        <f>IF(TRIM(Raw_Data!L633)="","No Coupon",TRIM(Raw_Data!L633))</f>
        <v/>
      </c>
      <c r="M633" s="4">
        <f>PROPER(TRIM(Raw_Data!M633))</f>
        <v/>
      </c>
      <c r="N633" s="6">
        <f>ROUND(Raw_Data!N633,2)</f>
        <v/>
      </c>
      <c r="O633" s="7">
        <f>IF(COUNTIF($A$2:$A$1201,A633)&gt;1,"DUPLICATE","Unique")</f>
        <v/>
      </c>
      <c r="P633" s="7">
        <f>IF(COUNTIF($J$2:$J$1201,J633)&gt;1,"DUPLICATE","Unique")</f>
        <v/>
      </c>
      <c r="Q633" s="4">
        <f>IF(TRIM(Raw_Data!L633)="","Yes","No")</f>
        <v/>
      </c>
      <c r="R633" s="4">
        <f>IF(ISNUMBER(B633),"Valid","INVALID")</f>
        <v/>
      </c>
    </row>
    <row r="634">
      <c r="A634" s="4">
        <f>TRIM(Raw_Data!A634)</f>
        <v/>
      </c>
      <c r="B634" s="5">
        <f>Raw_Data!B634</f>
        <v/>
      </c>
      <c r="C634" s="4">
        <f>TRIM(Raw_Data!C634)</f>
        <v/>
      </c>
      <c r="D634" s="4">
        <f>PROPER(TRIM(Raw_Data!D634))</f>
        <v/>
      </c>
      <c r="E634" s="4">
        <f>Raw_Data!E634</f>
        <v/>
      </c>
      <c r="F634" s="6">
        <f>ROUND(Raw_Data!F634,2)</f>
        <v/>
      </c>
      <c r="G634" s="4">
        <f>PROPER(TRIM(Raw_Data!G634))</f>
        <v/>
      </c>
      <c r="H634" s="4">
        <f>PROPER(TRIM(Raw_Data!H634))</f>
        <v/>
      </c>
      <c r="I634" s="4">
        <f>PROPER(TRIM(Raw_Data!I634))</f>
        <v/>
      </c>
      <c r="J634" s="4">
        <f>TRIM(Raw_Data!J634)</f>
        <v/>
      </c>
      <c r="K634" s="4">
        <f>Raw_Data!K634</f>
        <v/>
      </c>
      <c r="L634" s="4">
        <f>IF(TRIM(Raw_Data!L634)="","No Coupon",TRIM(Raw_Data!L634))</f>
        <v/>
      </c>
      <c r="M634" s="4">
        <f>PROPER(TRIM(Raw_Data!M634))</f>
        <v/>
      </c>
      <c r="N634" s="6">
        <f>ROUND(Raw_Data!N634,2)</f>
        <v/>
      </c>
      <c r="O634" s="7">
        <f>IF(COUNTIF($A$2:$A$1201,A634)&gt;1,"DUPLICATE","Unique")</f>
        <v/>
      </c>
      <c r="P634" s="7">
        <f>IF(COUNTIF($J$2:$J$1201,J634)&gt;1,"DUPLICATE","Unique")</f>
        <v/>
      </c>
      <c r="Q634" s="4">
        <f>IF(TRIM(Raw_Data!L634)="","Yes","No")</f>
        <v/>
      </c>
      <c r="R634" s="4">
        <f>IF(ISNUMBER(B634),"Valid","INVALID")</f>
        <v/>
      </c>
    </row>
    <row r="635">
      <c r="A635" s="4">
        <f>TRIM(Raw_Data!A635)</f>
        <v/>
      </c>
      <c r="B635" s="5">
        <f>Raw_Data!B635</f>
        <v/>
      </c>
      <c r="C635" s="4">
        <f>TRIM(Raw_Data!C635)</f>
        <v/>
      </c>
      <c r="D635" s="4">
        <f>PROPER(TRIM(Raw_Data!D635))</f>
        <v/>
      </c>
      <c r="E635" s="4">
        <f>Raw_Data!E635</f>
        <v/>
      </c>
      <c r="F635" s="6">
        <f>ROUND(Raw_Data!F635,2)</f>
        <v/>
      </c>
      <c r="G635" s="4">
        <f>PROPER(TRIM(Raw_Data!G635))</f>
        <v/>
      </c>
      <c r="H635" s="4">
        <f>PROPER(TRIM(Raw_Data!H635))</f>
        <v/>
      </c>
      <c r="I635" s="4">
        <f>PROPER(TRIM(Raw_Data!I635))</f>
        <v/>
      </c>
      <c r="J635" s="4">
        <f>TRIM(Raw_Data!J635)</f>
        <v/>
      </c>
      <c r="K635" s="4">
        <f>Raw_Data!K635</f>
        <v/>
      </c>
      <c r="L635" s="4">
        <f>IF(TRIM(Raw_Data!L635)="","No Coupon",TRIM(Raw_Data!L635))</f>
        <v/>
      </c>
      <c r="M635" s="4">
        <f>PROPER(TRIM(Raw_Data!M635))</f>
        <v/>
      </c>
      <c r="N635" s="6">
        <f>ROUND(Raw_Data!N635,2)</f>
        <v/>
      </c>
      <c r="O635" s="7">
        <f>IF(COUNTIF($A$2:$A$1201,A635)&gt;1,"DUPLICATE","Unique")</f>
        <v/>
      </c>
      <c r="P635" s="7">
        <f>IF(COUNTIF($J$2:$J$1201,J635)&gt;1,"DUPLICATE","Unique")</f>
        <v/>
      </c>
      <c r="Q635" s="4">
        <f>IF(TRIM(Raw_Data!L635)="","Yes","No")</f>
        <v/>
      </c>
      <c r="R635" s="4">
        <f>IF(ISNUMBER(B635),"Valid","INVALID")</f>
        <v/>
      </c>
    </row>
    <row r="636">
      <c r="A636" s="4">
        <f>TRIM(Raw_Data!A636)</f>
        <v/>
      </c>
      <c r="B636" s="5">
        <f>Raw_Data!B636</f>
        <v/>
      </c>
      <c r="C636" s="4">
        <f>TRIM(Raw_Data!C636)</f>
        <v/>
      </c>
      <c r="D636" s="4">
        <f>PROPER(TRIM(Raw_Data!D636))</f>
        <v/>
      </c>
      <c r="E636" s="4">
        <f>Raw_Data!E636</f>
        <v/>
      </c>
      <c r="F636" s="6">
        <f>ROUND(Raw_Data!F636,2)</f>
        <v/>
      </c>
      <c r="G636" s="4">
        <f>PROPER(TRIM(Raw_Data!G636))</f>
        <v/>
      </c>
      <c r="H636" s="4">
        <f>PROPER(TRIM(Raw_Data!H636))</f>
        <v/>
      </c>
      <c r="I636" s="4">
        <f>PROPER(TRIM(Raw_Data!I636))</f>
        <v/>
      </c>
      <c r="J636" s="4">
        <f>TRIM(Raw_Data!J636)</f>
        <v/>
      </c>
      <c r="K636" s="4">
        <f>Raw_Data!K636</f>
        <v/>
      </c>
      <c r="L636" s="4">
        <f>IF(TRIM(Raw_Data!L636)="","No Coupon",TRIM(Raw_Data!L636))</f>
        <v/>
      </c>
      <c r="M636" s="4">
        <f>PROPER(TRIM(Raw_Data!M636))</f>
        <v/>
      </c>
      <c r="N636" s="6">
        <f>ROUND(Raw_Data!N636,2)</f>
        <v/>
      </c>
      <c r="O636" s="7">
        <f>IF(COUNTIF($A$2:$A$1201,A636)&gt;1,"DUPLICATE","Unique")</f>
        <v/>
      </c>
      <c r="P636" s="7">
        <f>IF(COUNTIF($J$2:$J$1201,J636)&gt;1,"DUPLICATE","Unique")</f>
        <v/>
      </c>
      <c r="Q636" s="4">
        <f>IF(TRIM(Raw_Data!L636)="","Yes","No")</f>
        <v/>
      </c>
      <c r="R636" s="4">
        <f>IF(ISNUMBER(B636),"Valid","INVALID")</f>
        <v/>
      </c>
    </row>
    <row r="637">
      <c r="A637" s="4">
        <f>TRIM(Raw_Data!A637)</f>
        <v/>
      </c>
      <c r="B637" s="5">
        <f>Raw_Data!B637</f>
        <v/>
      </c>
      <c r="C637" s="4">
        <f>TRIM(Raw_Data!C637)</f>
        <v/>
      </c>
      <c r="D637" s="4">
        <f>PROPER(TRIM(Raw_Data!D637))</f>
        <v/>
      </c>
      <c r="E637" s="4">
        <f>Raw_Data!E637</f>
        <v/>
      </c>
      <c r="F637" s="6">
        <f>ROUND(Raw_Data!F637,2)</f>
        <v/>
      </c>
      <c r="G637" s="4">
        <f>PROPER(TRIM(Raw_Data!G637))</f>
        <v/>
      </c>
      <c r="H637" s="4">
        <f>PROPER(TRIM(Raw_Data!H637))</f>
        <v/>
      </c>
      <c r="I637" s="4">
        <f>PROPER(TRIM(Raw_Data!I637))</f>
        <v/>
      </c>
      <c r="J637" s="4">
        <f>TRIM(Raw_Data!J637)</f>
        <v/>
      </c>
      <c r="K637" s="4">
        <f>Raw_Data!K637</f>
        <v/>
      </c>
      <c r="L637" s="4">
        <f>IF(TRIM(Raw_Data!L637)="","No Coupon",TRIM(Raw_Data!L637))</f>
        <v/>
      </c>
      <c r="M637" s="4">
        <f>PROPER(TRIM(Raw_Data!M637))</f>
        <v/>
      </c>
      <c r="N637" s="6">
        <f>ROUND(Raw_Data!N637,2)</f>
        <v/>
      </c>
      <c r="O637" s="7">
        <f>IF(COUNTIF($A$2:$A$1201,A637)&gt;1,"DUPLICATE","Unique")</f>
        <v/>
      </c>
      <c r="P637" s="7">
        <f>IF(COUNTIF($J$2:$J$1201,J637)&gt;1,"DUPLICATE","Unique")</f>
        <v/>
      </c>
      <c r="Q637" s="4">
        <f>IF(TRIM(Raw_Data!L637)="","Yes","No")</f>
        <v/>
      </c>
      <c r="R637" s="4">
        <f>IF(ISNUMBER(B637),"Valid","INVALID")</f>
        <v/>
      </c>
    </row>
    <row r="638">
      <c r="A638" s="4">
        <f>TRIM(Raw_Data!A638)</f>
        <v/>
      </c>
      <c r="B638" s="5">
        <f>Raw_Data!B638</f>
        <v/>
      </c>
      <c r="C638" s="4">
        <f>TRIM(Raw_Data!C638)</f>
        <v/>
      </c>
      <c r="D638" s="4">
        <f>PROPER(TRIM(Raw_Data!D638))</f>
        <v/>
      </c>
      <c r="E638" s="4">
        <f>Raw_Data!E638</f>
        <v/>
      </c>
      <c r="F638" s="6">
        <f>ROUND(Raw_Data!F638,2)</f>
        <v/>
      </c>
      <c r="G638" s="4">
        <f>PROPER(TRIM(Raw_Data!G638))</f>
        <v/>
      </c>
      <c r="H638" s="4">
        <f>PROPER(TRIM(Raw_Data!H638))</f>
        <v/>
      </c>
      <c r="I638" s="4">
        <f>PROPER(TRIM(Raw_Data!I638))</f>
        <v/>
      </c>
      <c r="J638" s="4">
        <f>TRIM(Raw_Data!J638)</f>
        <v/>
      </c>
      <c r="K638" s="4">
        <f>Raw_Data!K638</f>
        <v/>
      </c>
      <c r="L638" s="4">
        <f>IF(TRIM(Raw_Data!L638)="","No Coupon",TRIM(Raw_Data!L638))</f>
        <v/>
      </c>
      <c r="M638" s="4">
        <f>PROPER(TRIM(Raw_Data!M638))</f>
        <v/>
      </c>
      <c r="N638" s="6">
        <f>ROUND(Raw_Data!N638,2)</f>
        <v/>
      </c>
      <c r="O638" s="7">
        <f>IF(COUNTIF($A$2:$A$1201,A638)&gt;1,"DUPLICATE","Unique")</f>
        <v/>
      </c>
      <c r="P638" s="7">
        <f>IF(COUNTIF($J$2:$J$1201,J638)&gt;1,"DUPLICATE","Unique")</f>
        <v/>
      </c>
      <c r="Q638" s="4">
        <f>IF(TRIM(Raw_Data!L638)="","Yes","No")</f>
        <v/>
      </c>
      <c r="R638" s="4">
        <f>IF(ISNUMBER(B638),"Valid","INVALID")</f>
        <v/>
      </c>
    </row>
    <row r="639">
      <c r="A639" s="4">
        <f>TRIM(Raw_Data!A639)</f>
        <v/>
      </c>
      <c r="B639" s="5">
        <f>Raw_Data!B639</f>
        <v/>
      </c>
      <c r="C639" s="4">
        <f>TRIM(Raw_Data!C639)</f>
        <v/>
      </c>
      <c r="D639" s="4">
        <f>PROPER(TRIM(Raw_Data!D639))</f>
        <v/>
      </c>
      <c r="E639" s="4">
        <f>Raw_Data!E639</f>
        <v/>
      </c>
      <c r="F639" s="6">
        <f>ROUND(Raw_Data!F639,2)</f>
        <v/>
      </c>
      <c r="G639" s="4">
        <f>PROPER(TRIM(Raw_Data!G639))</f>
        <v/>
      </c>
      <c r="H639" s="4">
        <f>PROPER(TRIM(Raw_Data!H639))</f>
        <v/>
      </c>
      <c r="I639" s="4">
        <f>PROPER(TRIM(Raw_Data!I639))</f>
        <v/>
      </c>
      <c r="J639" s="4">
        <f>TRIM(Raw_Data!J639)</f>
        <v/>
      </c>
      <c r="K639" s="4">
        <f>Raw_Data!K639</f>
        <v/>
      </c>
      <c r="L639" s="4">
        <f>IF(TRIM(Raw_Data!L639)="","No Coupon",TRIM(Raw_Data!L639))</f>
        <v/>
      </c>
      <c r="M639" s="4">
        <f>PROPER(TRIM(Raw_Data!M639))</f>
        <v/>
      </c>
      <c r="N639" s="6">
        <f>ROUND(Raw_Data!N639,2)</f>
        <v/>
      </c>
      <c r="O639" s="7">
        <f>IF(COUNTIF($A$2:$A$1201,A639)&gt;1,"DUPLICATE","Unique")</f>
        <v/>
      </c>
      <c r="P639" s="7">
        <f>IF(COUNTIF($J$2:$J$1201,J639)&gt;1,"DUPLICATE","Unique")</f>
        <v/>
      </c>
      <c r="Q639" s="4">
        <f>IF(TRIM(Raw_Data!L639)="","Yes","No")</f>
        <v/>
      </c>
      <c r="R639" s="4">
        <f>IF(ISNUMBER(B639),"Valid","INVALID")</f>
        <v/>
      </c>
    </row>
    <row r="640">
      <c r="A640" s="4">
        <f>TRIM(Raw_Data!A640)</f>
        <v/>
      </c>
      <c r="B640" s="5">
        <f>Raw_Data!B640</f>
        <v/>
      </c>
      <c r="C640" s="4">
        <f>TRIM(Raw_Data!C640)</f>
        <v/>
      </c>
      <c r="D640" s="4">
        <f>PROPER(TRIM(Raw_Data!D640))</f>
        <v/>
      </c>
      <c r="E640" s="4">
        <f>Raw_Data!E640</f>
        <v/>
      </c>
      <c r="F640" s="6">
        <f>ROUND(Raw_Data!F640,2)</f>
        <v/>
      </c>
      <c r="G640" s="4">
        <f>PROPER(TRIM(Raw_Data!G640))</f>
        <v/>
      </c>
      <c r="H640" s="4">
        <f>PROPER(TRIM(Raw_Data!H640))</f>
        <v/>
      </c>
      <c r="I640" s="4">
        <f>PROPER(TRIM(Raw_Data!I640))</f>
        <v/>
      </c>
      <c r="J640" s="4">
        <f>TRIM(Raw_Data!J640)</f>
        <v/>
      </c>
      <c r="K640" s="4">
        <f>Raw_Data!K640</f>
        <v/>
      </c>
      <c r="L640" s="4">
        <f>IF(TRIM(Raw_Data!L640)="","No Coupon",TRIM(Raw_Data!L640))</f>
        <v/>
      </c>
      <c r="M640" s="4">
        <f>PROPER(TRIM(Raw_Data!M640))</f>
        <v/>
      </c>
      <c r="N640" s="6">
        <f>ROUND(Raw_Data!N640,2)</f>
        <v/>
      </c>
      <c r="O640" s="7">
        <f>IF(COUNTIF($A$2:$A$1201,A640)&gt;1,"DUPLICATE","Unique")</f>
        <v/>
      </c>
      <c r="P640" s="7">
        <f>IF(COUNTIF($J$2:$J$1201,J640)&gt;1,"DUPLICATE","Unique")</f>
        <v/>
      </c>
      <c r="Q640" s="4">
        <f>IF(TRIM(Raw_Data!L640)="","Yes","No")</f>
        <v/>
      </c>
      <c r="R640" s="4">
        <f>IF(ISNUMBER(B640),"Valid","INVALID")</f>
        <v/>
      </c>
    </row>
    <row r="641">
      <c r="A641" s="4">
        <f>TRIM(Raw_Data!A641)</f>
        <v/>
      </c>
      <c r="B641" s="5">
        <f>Raw_Data!B641</f>
        <v/>
      </c>
      <c r="C641" s="4">
        <f>TRIM(Raw_Data!C641)</f>
        <v/>
      </c>
      <c r="D641" s="4">
        <f>PROPER(TRIM(Raw_Data!D641))</f>
        <v/>
      </c>
      <c r="E641" s="4">
        <f>Raw_Data!E641</f>
        <v/>
      </c>
      <c r="F641" s="6">
        <f>ROUND(Raw_Data!F641,2)</f>
        <v/>
      </c>
      <c r="G641" s="4">
        <f>PROPER(TRIM(Raw_Data!G641))</f>
        <v/>
      </c>
      <c r="H641" s="4">
        <f>PROPER(TRIM(Raw_Data!H641))</f>
        <v/>
      </c>
      <c r="I641" s="4">
        <f>PROPER(TRIM(Raw_Data!I641))</f>
        <v/>
      </c>
      <c r="J641" s="4">
        <f>TRIM(Raw_Data!J641)</f>
        <v/>
      </c>
      <c r="K641" s="4">
        <f>Raw_Data!K641</f>
        <v/>
      </c>
      <c r="L641" s="4">
        <f>IF(TRIM(Raw_Data!L641)="","No Coupon",TRIM(Raw_Data!L641))</f>
        <v/>
      </c>
      <c r="M641" s="4">
        <f>PROPER(TRIM(Raw_Data!M641))</f>
        <v/>
      </c>
      <c r="N641" s="6">
        <f>ROUND(Raw_Data!N641,2)</f>
        <v/>
      </c>
      <c r="O641" s="7">
        <f>IF(COUNTIF($A$2:$A$1201,A641)&gt;1,"DUPLICATE","Unique")</f>
        <v/>
      </c>
      <c r="P641" s="7">
        <f>IF(COUNTIF($J$2:$J$1201,J641)&gt;1,"DUPLICATE","Unique")</f>
        <v/>
      </c>
      <c r="Q641" s="4">
        <f>IF(TRIM(Raw_Data!L641)="","Yes","No")</f>
        <v/>
      </c>
      <c r="R641" s="4">
        <f>IF(ISNUMBER(B641),"Valid","INVALID")</f>
        <v/>
      </c>
    </row>
    <row r="642">
      <c r="A642" s="4">
        <f>TRIM(Raw_Data!A642)</f>
        <v/>
      </c>
      <c r="B642" s="5">
        <f>Raw_Data!B642</f>
        <v/>
      </c>
      <c r="C642" s="4">
        <f>TRIM(Raw_Data!C642)</f>
        <v/>
      </c>
      <c r="D642" s="4">
        <f>PROPER(TRIM(Raw_Data!D642))</f>
        <v/>
      </c>
      <c r="E642" s="4">
        <f>Raw_Data!E642</f>
        <v/>
      </c>
      <c r="F642" s="6">
        <f>ROUND(Raw_Data!F642,2)</f>
        <v/>
      </c>
      <c r="G642" s="4">
        <f>PROPER(TRIM(Raw_Data!G642))</f>
        <v/>
      </c>
      <c r="H642" s="4">
        <f>PROPER(TRIM(Raw_Data!H642))</f>
        <v/>
      </c>
      <c r="I642" s="4">
        <f>PROPER(TRIM(Raw_Data!I642))</f>
        <v/>
      </c>
      <c r="J642" s="4">
        <f>TRIM(Raw_Data!J642)</f>
        <v/>
      </c>
      <c r="K642" s="4">
        <f>Raw_Data!K642</f>
        <v/>
      </c>
      <c r="L642" s="4">
        <f>IF(TRIM(Raw_Data!L642)="","No Coupon",TRIM(Raw_Data!L642))</f>
        <v/>
      </c>
      <c r="M642" s="4">
        <f>PROPER(TRIM(Raw_Data!M642))</f>
        <v/>
      </c>
      <c r="N642" s="6">
        <f>ROUND(Raw_Data!N642,2)</f>
        <v/>
      </c>
      <c r="O642" s="7">
        <f>IF(COUNTIF($A$2:$A$1201,A642)&gt;1,"DUPLICATE","Unique")</f>
        <v/>
      </c>
      <c r="P642" s="7">
        <f>IF(COUNTIF($J$2:$J$1201,J642)&gt;1,"DUPLICATE","Unique")</f>
        <v/>
      </c>
      <c r="Q642" s="4">
        <f>IF(TRIM(Raw_Data!L642)="","Yes","No")</f>
        <v/>
      </c>
      <c r="R642" s="4">
        <f>IF(ISNUMBER(B642),"Valid","INVALID")</f>
        <v/>
      </c>
    </row>
    <row r="643">
      <c r="A643" s="4">
        <f>TRIM(Raw_Data!A643)</f>
        <v/>
      </c>
      <c r="B643" s="5">
        <f>Raw_Data!B643</f>
        <v/>
      </c>
      <c r="C643" s="4">
        <f>TRIM(Raw_Data!C643)</f>
        <v/>
      </c>
      <c r="D643" s="4">
        <f>PROPER(TRIM(Raw_Data!D643))</f>
        <v/>
      </c>
      <c r="E643" s="4">
        <f>Raw_Data!E643</f>
        <v/>
      </c>
      <c r="F643" s="6">
        <f>ROUND(Raw_Data!F643,2)</f>
        <v/>
      </c>
      <c r="G643" s="4">
        <f>PROPER(TRIM(Raw_Data!G643))</f>
        <v/>
      </c>
      <c r="H643" s="4">
        <f>PROPER(TRIM(Raw_Data!H643))</f>
        <v/>
      </c>
      <c r="I643" s="4">
        <f>PROPER(TRIM(Raw_Data!I643))</f>
        <v/>
      </c>
      <c r="J643" s="4">
        <f>TRIM(Raw_Data!J643)</f>
        <v/>
      </c>
      <c r="K643" s="4">
        <f>Raw_Data!K643</f>
        <v/>
      </c>
      <c r="L643" s="4">
        <f>IF(TRIM(Raw_Data!L643)="","No Coupon",TRIM(Raw_Data!L643))</f>
        <v/>
      </c>
      <c r="M643" s="4">
        <f>PROPER(TRIM(Raw_Data!M643))</f>
        <v/>
      </c>
      <c r="N643" s="6">
        <f>ROUND(Raw_Data!N643,2)</f>
        <v/>
      </c>
      <c r="O643" s="7">
        <f>IF(COUNTIF($A$2:$A$1201,A643)&gt;1,"DUPLICATE","Unique")</f>
        <v/>
      </c>
      <c r="P643" s="7">
        <f>IF(COUNTIF($J$2:$J$1201,J643)&gt;1,"DUPLICATE","Unique")</f>
        <v/>
      </c>
      <c r="Q643" s="4">
        <f>IF(TRIM(Raw_Data!L643)="","Yes","No")</f>
        <v/>
      </c>
      <c r="R643" s="4">
        <f>IF(ISNUMBER(B643),"Valid","INVALID")</f>
        <v/>
      </c>
    </row>
    <row r="644">
      <c r="A644" s="4">
        <f>TRIM(Raw_Data!A644)</f>
        <v/>
      </c>
      <c r="B644" s="5">
        <f>Raw_Data!B644</f>
        <v/>
      </c>
      <c r="C644" s="4">
        <f>TRIM(Raw_Data!C644)</f>
        <v/>
      </c>
      <c r="D644" s="4">
        <f>PROPER(TRIM(Raw_Data!D644))</f>
        <v/>
      </c>
      <c r="E644" s="4">
        <f>Raw_Data!E644</f>
        <v/>
      </c>
      <c r="F644" s="6">
        <f>ROUND(Raw_Data!F644,2)</f>
        <v/>
      </c>
      <c r="G644" s="4">
        <f>PROPER(TRIM(Raw_Data!G644))</f>
        <v/>
      </c>
      <c r="H644" s="4">
        <f>PROPER(TRIM(Raw_Data!H644))</f>
        <v/>
      </c>
      <c r="I644" s="4">
        <f>PROPER(TRIM(Raw_Data!I644))</f>
        <v/>
      </c>
      <c r="J644" s="4">
        <f>TRIM(Raw_Data!J644)</f>
        <v/>
      </c>
      <c r="K644" s="4">
        <f>Raw_Data!K644</f>
        <v/>
      </c>
      <c r="L644" s="4">
        <f>IF(TRIM(Raw_Data!L644)="","No Coupon",TRIM(Raw_Data!L644))</f>
        <v/>
      </c>
      <c r="M644" s="4">
        <f>PROPER(TRIM(Raw_Data!M644))</f>
        <v/>
      </c>
      <c r="N644" s="6">
        <f>ROUND(Raw_Data!N644,2)</f>
        <v/>
      </c>
      <c r="O644" s="7">
        <f>IF(COUNTIF($A$2:$A$1201,A644)&gt;1,"DUPLICATE","Unique")</f>
        <v/>
      </c>
      <c r="P644" s="7">
        <f>IF(COUNTIF($J$2:$J$1201,J644)&gt;1,"DUPLICATE","Unique")</f>
        <v/>
      </c>
      <c r="Q644" s="4">
        <f>IF(TRIM(Raw_Data!L644)="","Yes","No")</f>
        <v/>
      </c>
      <c r="R644" s="4">
        <f>IF(ISNUMBER(B644),"Valid","INVALID")</f>
        <v/>
      </c>
    </row>
    <row r="645">
      <c r="A645" s="4">
        <f>TRIM(Raw_Data!A645)</f>
        <v/>
      </c>
      <c r="B645" s="5">
        <f>Raw_Data!B645</f>
        <v/>
      </c>
      <c r="C645" s="4">
        <f>TRIM(Raw_Data!C645)</f>
        <v/>
      </c>
      <c r="D645" s="4">
        <f>PROPER(TRIM(Raw_Data!D645))</f>
        <v/>
      </c>
      <c r="E645" s="4">
        <f>Raw_Data!E645</f>
        <v/>
      </c>
      <c r="F645" s="6">
        <f>ROUND(Raw_Data!F645,2)</f>
        <v/>
      </c>
      <c r="G645" s="4">
        <f>PROPER(TRIM(Raw_Data!G645))</f>
        <v/>
      </c>
      <c r="H645" s="4">
        <f>PROPER(TRIM(Raw_Data!H645))</f>
        <v/>
      </c>
      <c r="I645" s="4">
        <f>PROPER(TRIM(Raw_Data!I645))</f>
        <v/>
      </c>
      <c r="J645" s="4">
        <f>TRIM(Raw_Data!J645)</f>
        <v/>
      </c>
      <c r="K645" s="4">
        <f>Raw_Data!K645</f>
        <v/>
      </c>
      <c r="L645" s="4">
        <f>IF(TRIM(Raw_Data!L645)="","No Coupon",TRIM(Raw_Data!L645))</f>
        <v/>
      </c>
      <c r="M645" s="4">
        <f>PROPER(TRIM(Raw_Data!M645))</f>
        <v/>
      </c>
      <c r="N645" s="6">
        <f>ROUND(Raw_Data!N645,2)</f>
        <v/>
      </c>
      <c r="O645" s="7">
        <f>IF(COUNTIF($A$2:$A$1201,A645)&gt;1,"DUPLICATE","Unique")</f>
        <v/>
      </c>
      <c r="P645" s="7">
        <f>IF(COUNTIF($J$2:$J$1201,J645)&gt;1,"DUPLICATE","Unique")</f>
        <v/>
      </c>
      <c r="Q645" s="4">
        <f>IF(TRIM(Raw_Data!L645)="","Yes","No")</f>
        <v/>
      </c>
      <c r="R645" s="4">
        <f>IF(ISNUMBER(B645),"Valid","INVALID")</f>
        <v/>
      </c>
    </row>
    <row r="646">
      <c r="A646" s="4">
        <f>TRIM(Raw_Data!A646)</f>
        <v/>
      </c>
      <c r="B646" s="5">
        <f>Raw_Data!B646</f>
        <v/>
      </c>
      <c r="C646" s="4">
        <f>TRIM(Raw_Data!C646)</f>
        <v/>
      </c>
      <c r="D646" s="4">
        <f>PROPER(TRIM(Raw_Data!D646))</f>
        <v/>
      </c>
      <c r="E646" s="4">
        <f>Raw_Data!E646</f>
        <v/>
      </c>
      <c r="F646" s="6">
        <f>ROUND(Raw_Data!F646,2)</f>
        <v/>
      </c>
      <c r="G646" s="4">
        <f>PROPER(TRIM(Raw_Data!G646))</f>
        <v/>
      </c>
      <c r="H646" s="4">
        <f>PROPER(TRIM(Raw_Data!H646))</f>
        <v/>
      </c>
      <c r="I646" s="4">
        <f>PROPER(TRIM(Raw_Data!I646))</f>
        <v/>
      </c>
      <c r="J646" s="4">
        <f>TRIM(Raw_Data!J646)</f>
        <v/>
      </c>
      <c r="K646" s="4">
        <f>Raw_Data!K646</f>
        <v/>
      </c>
      <c r="L646" s="4">
        <f>IF(TRIM(Raw_Data!L646)="","No Coupon",TRIM(Raw_Data!L646))</f>
        <v/>
      </c>
      <c r="M646" s="4">
        <f>PROPER(TRIM(Raw_Data!M646))</f>
        <v/>
      </c>
      <c r="N646" s="6">
        <f>ROUND(Raw_Data!N646,2)</f>
        <v/>
      </c>
      <c r="O646" s="7">
        <f>IF(COUNTIF($A$2:$A$1201,A646)&gt;1,"DUPLICATE","Unique")</f>
        <v/>
      </c>
      <c r="P646" s="7">
        <f>IF(COUNTIF($J$2:$J$1201,J646)&gt;1,"DUPLICATE","Unique")</f>
        <v/>
      </c>
      <c r="Q646" s="4">
        <f>IF(TRIM(Raw_Data!L646)="","Yes","No")</f>
        <v/>
      </c>
      <c r="R646" s="4">
        <f>IF(ISNUMBER(B646),"Valid","INVALID")</f>
        <v/>
      </c>
    </row>
    <row r="647">
      <c r="A647" s="4">
        <f>TRIM(Raw_Data!A647)</f>
        <v/>
      </c>
      <c r="B647" s="5">
        <f>Raw_Data!B647</f>
        <v/>
      </c>
      <c r="C647" s="4">
        <f>TRIM(Raw_Data!C647)</f>
        <v/>
      </c>
      <c r="D647" s="4">
        <f>PROPER(TRIM(Raw_Data!D647))</f>
        <v/>
      </c>
      <c r="E647" s="4">
        <f>Raw_Data!E647</f>
        <v/>
      </c>
      <c r="F647" s="6">
        <f>ROUND(Raw_Data!F647,2)</f>
        <v/>
      </c>
      <c r="G647" s="4">
        <f>PROPER(TRIM(Raw_Data!G647))</f>
        <v/>
      </c>
      <c r="H647" s="4">
        <f>PROPER(TRIM(Raw_Data!H647))</f>
        <v/>
      </c>
      <c r="I647" s="4">
        <f>PROPER(TRIM(Raw_Data!I647))</f>
        <v/>
      </c>
      <c r="J647" s="4">
        <f>TRIM(Raw_Data!J647)</f>
        <v/>
      </c>
      <c r="K647" s="4">
        <f>Raw_Data!K647</f>
        <v/>
      </c>
      <c r="L647" s="4">
        <f>IF(TRIM(Raw_Data!L647)="","No Coupon",TRIM(Raw_Data!L647))</f>
        <v/>
      </c>
      <c r="M647" s="4">
        <f>PROPER(TRIM(Raw_Data!M647))</f>
        <v/>
      </c>
      <c r="N647" s="6">
        <f>ROUND(Raw_Data!N647,2)</f>
        <v/>
      </c>
      <c r="O647" s="7">
        <f>IF(COUNTIF($A$2:$A$1201,A647)&gt;1,"DUPLICATE","Unique")</f>
        <v/>
      </c>
      <c r="P647" s="7">
        <f>IF(COUNTIF($J$2:$J$1201,J647)&gt;1,"DUPLICATE","Unique")</f>
        <v/>
      </c>
      <c r="Q647" s="4">
        <f>IF(TRIM(Raw_Data!L647)="","Yes","No")</f>
        <v/>
      </c>
      <c r="R647" s="4">
        <f>IF(ISNUMBER(B647),"Valid","INVALID")</f>
        <v/>
      </c>
    </row>
    <row r="648">
      <c r="A648" s="4">
        <f>TRIM(Raw_Data!A648)</f>
        <v/>
      </c>
      <c r="B648" s="5">
        <f>Raw_Data!B648</f>
        <v/>
      </c>
      <c r="C648" s="4">
        <f>TRIM(Raw_Data!C648)</f>
        <v/>
      </c>
      <c r="D648" s="4">
        <f>PROPER(TRIM(Raw_Data!D648))</f>
        <v/>
      </c>
      <c r="E648" s="4">
        <f>Raw_Data!E648</f>
        <v/>
      </c>
      <c r="F648" s="6">
        <f>ROUND(Raw_Data!F648,2)</f>
        <v/>
      </c>
      <c r="G648" s="4">
        <f>PROPER(TRIM(Raw_Data!G648))</f>
        <v/>
      </c>
      <c r="H648" s="4">
        <f>PROPER(TRIM(Raw_Data!H648))</f>
        <v/>
      </c>
      <c r="I648" s="4">
        <f>PROPER(TRIM(Raw_Data!I648))</f>
        <v/>
      </c>
      <c r="J648" s="4">
        <f>TRIM(Raw_Data!J648)</f>
        <v/>
      </c>
      <c r="K648" s="4">
        <f>Raw_Data!K648</f>
        <v/>
      </c>
      <c r="L648" s="4">
        <f>IF(TRIM(Raw_Data!L648)="","No Coupon",TRIM(Raw_Data!L648))</f>
        <v/>
      </c>
      <c r="M648" s="4">
        <f>PROPER(TRIM(Raw_Data!M648))</f>
        <v/>
      </c>
      <c r="N648" s="6">
        <f>ROUND(Raw_Data!N648,2)</f>
        <v/>
      </c>
      <c r="O648" s="7">
        <f>IF(COUNTIF($A$2:$A$1201,A648)&gt;1,"DUPLICATE","Unique")</f>
        <v/>
      </c>
      <c r="P648" s="7">
        <f>IF(COUNTIF($J$2:$J$1201,J648)&gt;1,"DUPLICATE","Unique")</f>
        <v/>
      </c>
      <c r="Q648" s="4">
        <f>IF(TRIM(Raw_Data!L648)="","Yes","No")</f>
        <v/>
      </c>
      <c r="R648" s="4">
        <f>IF(ISNUMBER(B648),"Valid","INVALID")</f>
        <v/>
      </c>
    </row>
    <row r="649">
      <c r="A649" s="4">
        <f>TRIM(Raw_Data!A649)</f>
        <v/>
      </c>
      <c r="B649" s="5">
        <f>Raw_Data!B649</f>
        <v/>
      </c>
      <c r="C649" s="4">
        <f>TRIM(Raw_Data!C649)</f>
        <v/>
      </c>
      <c r="D649" s="4">
        <f>PROPER(TRIM(Raw_Data!D649))</f>
        <v/>
      </c>
      <c r="E649" s="4">
        <f>Raw_Data!E649</f>
        <v/>
      </c>
      <c r="F649" s="6">
        <f>ROUND(Raw_Data!F649,2)</f>
        <v/>
      </c>
      <c r="G649" s="4">
        <f>PROPER(TRIM(Raw_Data!G649))</f>
        <v/>
      </c>
      <c r="H649" s="4">
        <f>PROPER(TRIM(Raw_Data!H649))</f>
        <v/>
      </c>
      <c r="I649" s="4">
        <f>PROPER(TRIM(Raw_Data!I649))</f>
        <v/>
      </c>
      <c r="J649" s="4">
        <f>TRIM(Raw_Data!J649)</f>
        <v/>
      </c>
      <c r="K649" s="4">
        <f>Raw_Data!K649</f>
        <v/>
      </c>
      <c r="L649" s="4">
        <f>IF(TRIM(Raw_Data!L649)="","No Coupon",TRIM(Raw_Data!L649))</f>
        <v/>
      </c>
      <c r="M649" s="4">
        <f>PROPER(TRIM(Raw_Data!M649))</f>
        <v/>
      </c>
      <c r="N649" s="6">
        <f>ROUND(Raw_Data!N649,2)</f>
        <v/>
      </c>
      <c r="O649" s="7">
        <f>IF(COUNTIF($A$2:$A$1201,A649)&gt;1,"DUPLICATE","Unique")</f>
        <v/>
      </c>
      <c r="P649" s="7">
        <f>IF(COUNTIF($J$2:$J$1201,J649)&gt;1,"DUPLICATE","Unique")</f>
        <v/>
      </c>
      <c r="Q649" s="4">
        <f>IF(TRIM(Raw_Data!L649)="","Yes","No")</f>
        <v/>
      </c>
      <c r="R649" s="4">
        <f>IF(ISNUMBER(B649),"Valid","INVALID")</f>
        <v/>
      </c>
    </row>
    <row r="650">
      <c r="A650" s="4">
        <f>TRIM(Raw_Data!A650)</f>
        <v/>
      </c>
      <c r="B650" s="5">
        <f>Raw_Data!B650</f>
        <v/>
      </c>
      <c r="C650" s="4">
        <f>TRIM(Raw_Data!C650)</f>
        <v/>
      </c>
      <c r="D650" s="4">
        <f>PROPER(TRIM(Raw_Data!D650))</f>
        <v/>
      </c>
      <c r="E650" s="4">
        <f>Raw_Data!E650</f>
        <v/>
      </c>
      <c r="F650" s="6">
        <f>ROUND(Raw_Data!F650,2)</f>
        <v/>
      </c>
      <c r="G650" s="4">
        <f>PROPER(TRIM(Raw_Data!G650))</f>
        <v/>
      </c>
      <c r="H650" s="4">
        <f>PROPER(TRIM(Raw_Data!H650))</f>
        <v/>
      </c>
      <c r="I650" s="4">
        <f>PROPER(TRIM(Raw_Data!I650))</f>
        <v/>
      </c>
      <c r="J650" s="4">
        <f>TRIM(Raw_Data!J650)</f>
        <v/>
      </c>
      <c r="K650" s="4">
        <f>Raw_Data!K650</f>
        <v/>
      </c>
      <c r="L650" s="4">
        <f>IF(TRIM(Raw_Data!L650)="","No Coupon",TRIM(Raw_Data!L650))</f>
        <v/>
      </c>
      <c r="M650" s="4">
        <f>PROPER(TRIM(Raw_Data!M650))</f>
        <v/>
      </c>
      <c r="N650" s="6">
        <f>ROUND(Raw_Data!N650,2)</f>
        <v/>
      </c>
      <c r="O650" s="7">
        <f>IF(COUNTIF($A$2:$A$1201,A650)&gt;1,"DUPLICATE","Unique")</f>
        <v/>
      </c>
      <c r="P650" s="7">
        <f>IF(COUNTIF($J$2:$J$1201,J650)&gt;1,"DUPLICATE","Unique")</f>
        <v/>
      </c>
      <c r="Q650" s="4">
        <f>IF(TRIM(Raw_Data!L650)="","Yes","No")</f>
        <v/>
      </c>
      <c r="R650" s="4">
        <f>IF(ISNUMBER(B650),"Valid","INVALID")</f>
        <v/>
      </c>
    </row>
    <row r="651">
      <c r="A651" s="4">
        <f>TRIM(Raw_Data!A651)</f>
        <v/>
      </c>
      <c r="B651" s="5">
        <f>Raw_Data!B651</f>
        <v/>
      </c>
      <c r="C651" s="4">
        <f>TRIM(Raw_Data!C651)</f>
        <v/>
      </c>
      <c r="D651" s="4">
        <f>PROPER(TRIM(Raw_Data!D651))</f>
        <v/>
      </c>
      <c r="E651" s="4">
        <f>Raw_Data!E651</f>
        <v/>
      </c>
      <c r="F651" s="6">
        <f>ROUND(Raw_Data!F651,2)</f>
        <v/>
      </c>
      <c r="G651" s="4">
        <f>PROPER(TRIM(Raw_Data!G651))</f>
        <v/>
      </c>
      <c r="H651" s="4">
        <f>PROPER(TRIM(Raw_Data!H651))</f>
        <v/>
      </c>
      <c r="I651" s="4">
        <f>PROPER(TRIM(Raw_Data!I651))</f>
        <v/>
      </c>
      <c r="J651" s="4">
        <f>TRIM(Raw_Data!J651)</f>
        <v/>
      </c>
      <c r="K651" s="4">
        <f>Raw_Data!K651</f>
        <v/>
      </c>
      <c r="L651" s="4">
        <f>IF(TRIM(Raw_Data!L651)="","No Coupon",TRIM(Raw_Data!L651))</f>
        <v/>
      </c>
      <c r="M651" s="4">
        <f>PROPER(TRIM(Raw_Data!M651))</f>
        <v/>
      </c>
      <c r="N651" s="6">
        <f>ROUND(Raw_Data!N651,2)</f>
        <v/>
      </c>
      <c r="O651" s="7">
        <f>IF(COUNTIF($A$2:$A$1201,A651)&gt;1,"DUPLICATE","Unique")</f>
        <v/>
      </c>
      <c r="P651" s="7">
        <f>IF(COUNTIF($J$2:$J$1201,J651)&gt;1,"DUPLICATE","Unique")</f>
        <v/>
      </c>
      <c r="Q651" s="4">
        <f>IF(TRIM(Raw_Data!L651)="","Yes","No")</f>
        <v/>
      </c>
      <c r="R651" s="4">
        <f>IF(ISNUMBER(B651),"Valid","INVALID")</f>
        <v/>
      </c>
    </row>
    <row r="652">
      <c r="A652" s="4">
        <f>TRIM(Raw_Data!A652)</f>
        <v/>
      </c>
      <c r="B652" s="5">
        <f>Raw_Data!B652</f>
        <v/>
      </c>
      <c r="C652" s="4">
        <f>TRIM(Raw_Data!C652)</f>
        <v/>
      </c>
      <c r="D652" s="4">
        <f>PROPER(TRIM(Raw_Data!D652))</f>
        <v/>
      </c>
      <c r="E652" s="4">
        <f>Raw_Data!E652</f>
        <v/>
      </c>
      <c r="F652" s="6">
        <f>ROUND(Raw_Data!F652,2)</f>
        <v/>
      </c>
      <c r="G652" s="4">
        <f>PROPER(TRIM(Raw_Data!G652))</f>
        <v/>
      </c>
      <c r="H652" s="4">
        <f>PROPER(TRIM(Raw_Data!H652))</f>
        <v/>
      </c>
      <c r="I652" s="4">
        <f>PROPER(TRIM(Raw_Data!I652))</f>
        <v/>
      </c>
      <c r="J652" s="4">
        <f>TRIM(Raw_Data!J652)</f>
        <v/>
      </c>
      <c r="K652" s="4">
        <f>Raw_Data!K652</f>
        <v/>
      </c>
      <c r="L652" s="4">
        <f>IF(TRIM(Raw_Data!L652)="","No Coupon",TRIM(Raw_Data!L652))</f>
        <v/>
      </c>
      <c r="M652" s="4">
        <f>PROPER(TRIM(Raw_Data!M652))</f>
        <v/>
      </c>
      <c r="N652" s="6">
        <f>ROUND(Raw_Data!N652,2)</f>
        <v/>
      </c>
      <c r="O652" s="7">
        <f>IF(COUNTIF($A$2:$A$1201,A652)&gt;1,"DUPLICATE","Unique")</f>
        <v/>
      </c>
      <c r="P652" s="7">
        <f>IF(COUNTIF($J$2:$J$1201,J652)&gt;1,"DUPLICATE","Unique")</f>
        <v/>
      </c>
      <c r="Q652" s="4">
        <f>IF(TRIM(Raw_Data!L652)="","Yes","No")</f>
        <v/>
      </c>
      <c r="R652" s="4">
        <f>IF(ISNUMBER(B652),"Valid","INVALID")</f>
        <v/>
      </c>
    </row>
    <row r="653">
      <c r="A653" s="4">
        <f>TRIM(Raw_Data!A653)</f>
        <v/>
      </c>
      <c r="B653" s="5">
        <f>Raw_Data!B653</f>
        <v/>
      </c>
      <c r="C653" s="4">
        <f>TRIM(Raw_Data!C653)</f>
        <v/>
      </c>
      <c r="D653" s="4">
        <f>PROPER(TRIM(Raw_Data!D653))</f>
        <v/>
      </c>
      <c r="E653" s="4">
        <f>Raw_Data!E653</f>
        <v/>
      </c>
      <c r="F653" s="6">
        <f>ROUND(Raw_Data!F653,2)</f>
        <v/>
      </c>
      <c r="G653" s="4">
        <f>PROPER(TRIM(Raw_Data!G653))</f>
        <v/>
      </c>
      <c r="H653" s="4">
        <f>PROPER(TRIM(Raw_Data!H653))</f>
        <v/>
      </c>
      <c r="I653" s="4">
        <f>PROPER(TRIM(Raw_Data!I653))</f>
        <v/>
      </c>
      <c r="J653" s="4">
        <f>TRIM(Raw_Data!J653)</f>
        <v/>
      </c>
      <c r="K653" s="4">
        <f>Raw_Data!K653</f>
        <v/>
      </c>
      <c r="L653" s="4">
        <f>IF(TRIM(Raw_Data!L653)="","No Coupon",TRIM(Raw_Data!L653))</f>
        <v/>
      </c>
      <c r="M653" s="4">
        <f>PROPER(TRIM(Raw_Data!M653))</f>
        <v/>
      </c>
      <c r="N653" s="6">
        <f>ROUND(Raw_Data!N653,2)</f>
        <v/>
      </c>
      <c r="O653" s="7">
        <f>IF(COUNTIF($A$2:$A$1201,A653)&gt;1,"DUPLICATE","Unique")</f>
        <v/>
      </c>
      <c r="P653" s="7">
        <f>IF(COUNTIF($J$2:$J$1201,J653)&gt;1,"DUPLICATE","Unique")</f>
        <v/>
      </c>
      <c r="Q653" s="4">
        <f>IF(TRIM(Raw_Data!L653)="","Yes","No")</f>
        <v/>
      </c>
      <c r="R653" s="4">
        <f>IF(ISNUMBER(B653),"Valid","INVALID")</f>
        <v/>
      </c>
    </row>
    <row r="654">
      <c r="A654" s="4">
        <f>TRIM(Raw_Data!A654)</f>
        <v/>
      </c>
      <c r="B654" s="5">
        <f>Raw_Data!B654</f>
        <v/>
      </c>
      <c r="C654" s="4">
        <f>TRIM(Raw_Data!C654)</f>
        <v/>
      </c>
      <c r="D654" s="4">
        <f>PROPER(TRIM(Raw_Data!D654))</f>
        <v/>
      </c>
      <c r="E654" s="4">
        <f>Raw_Data!E654</f>
        <v/>
      </c>
      <c r="F654" s="6">
        <f>ROUND(Raw_Data!F654,2)</f>
        <v/>
      </c>
      <c r="G654" s="4">
        <f>PROPER(TRIM(Raw_Data!G654))</f>
        <v/>
      </c>
      <c r="H654" s="4">
        <f>PROPER(TRIM(Raw_Data!H654))</f>
        <v/>
      </c>
      <c r="I654" s="4">
        <f>PROPER(TRIM(Raw_Data!I654))</f>
        <v/>
      </c>
      <c r="J654" s="4">
        <f>TRIM(Raw_Data!J654)</f>
        <v/>
      </c>
      <c r="K654" s="4">
        <f>Raw_Data!K654</f>
        <v/>
      </c>
      <c r="L654" s="4">
        <f>IF(TRIM(Raw_Data!L654)="","No Coupon",TRIM(Raw_Data!L654))</f>
        <v/>
      </c>
      <c r="M654" s="4">
        <f>PROPER(TRIM(Raw_Data!M654))</f>
        <v/>
      </c>
      <c r="N654" s="6">
        <f>ROUND(Raw_Data!N654,2)</f>
        <v/>
      </c>
      <c r="O654" s="7">
        <f>IF(COUNTIF($A$2:$A$1201,A654)&gt;1,"DUPLICATE","Unique")</f>
        <v/>
      </c>
      <c r="P654" s="7">
        <f>IF(COUNTIF($J$2:$J$1201,J654)&gt;1,"DUPLICATE","Unique")</f>
        <v/>
      </c>
      <c r="Q654" s="4">
        <f>IF(TRIM(Raw_Data!L654)="","Yes","No")</f>
        <v/>
      </c>
      <c r="R654" s="4">
        <f>IF(ISNUMBER(B654),"Valid","INVALID")</f>
        <v/>
      </c>
    </row>
    <row r="655">
      <c r="A655" s="4">
        <f>TRIM(Raw_Data!A655)</f>
        <v/>
      </c>
      <c r="B655" s="5">
        <f>Raw_Data!B655</f>
        <v/>
      </c>
      <c r="C655" s="4">
        <f>TRIM(Raw_Data!C655)</f>
        <v/>
      </c>
      <c r="D655" s="4">
        <f>PROPER(TRIM(Raw_Data!D655))</f>
        <v/>
      </c>
      <c r="E655" s="4">
        <f>Raw_Data!E655</f>
        <v/>
      </c>
      <c r="F655" s="6">
        <f>ROUND(Raw_Data!F655,2)</f>
        <v/>
      </c>
      <c r="G655" s="4">
        <f>PROPER(TRIM(Raw_Data!G655))</f>
        <v/>
      </c>
      <c r="H655" s="4">
        <f>PROPER(TRIM(Raw_Data!H655))</f>
        <v/>
      </c>
      <c r="I655" s="4">
        <f>PROPER(TRIM(Raw_Data!I655))</f>
        <v/>
      </c>
      <c r="J655" s="4">
        <f>TRIM(Raw_Data!J655)</f>
        <v/>
      </c>
      <c r="K655" s="4">
        <f>Raw_Data!K655</f>
        <v/>
      </c>
      <c r="L655" s="4">
        <f>IF(TRIM(Raw_Data!L655)="","No Coupon",TRIM(Raw_Data!L655))</f>
        <v/>
      </c>
      <c r="M655" s="4">
        <f>PROPER(TRIM(Raw_Data!M655))</f>
        <v/>
      </c>
      <c r="N655" s="6">
        <f>ROUND(Raw_Data!N655,2)</f>
        <v/>
      </c>
      <c r="O655" s="7">
        <f>IF(COUNTIF($A$2:$A$1201,A655)&gt;1,"DUPLICATE","Unique")</f>
        <v/>
      </c>
      <c r="P655" s="7">
        <f>IF(COUNTIF($J$2:$J$1201,J655)&gt;1,"DUPLICATE","Unique")</f>
        <v/>
      </c>
      <c r="Q655" s="4">
        <f>IF(TRIM(Raw_Data!L655)="","Yes","No")</f>
        <v/>
      </c>
      <c r="R655" s="4">
        <f>IF(ISNUMBER(B655),"Valid","INVALID")</f>
        <v/>
      </c>
    </row>
    <row r="656">
      <c r="A656" s="4">
        <f>TRIM(Raw_Data!A656)</f>
        <v/>
      </c>
      <c r="B656" s="5">
        <f>Raw_Data!B656</f>
        <v/>
      </c>
      <c r="C656" s="4">
        <f>TRIM(Raw_Data!C656)</f>
        <v/>
      </c>
      <c r="D656" s="4">
        <f>PROPER(TRIM(Raw_Data!D656))</f>
        <v/>
      </c>
      <c r="E656" s="4">
        <f>Raw_Data!E656</f>
        <v/>
      </c>
      <c r="F656" s="6">
        <f>ROUND(Raw_Data!F656,2)</f>
        <v/>
      </c>
      <c r="G656" s="4">
        <f>PROPER(TRIM(Raw_Data!G656))</f>
        <v/>
      </c>
      <c r="H656" s="4">
        <f>PROPER(TRIM(Raw_Data!H656))</f>
        <v/>
      </c>
      <c r="I656" s="4">
        <f>PROPER(TRIM(Raw_Data!I656))</f>
        <v/>
      </c>
      <c r="J656" s="4">
        <f>TRIM(Raw_Data!J656)</f>
        <v/>
      </c>
      <c r="K656" s="4">
        <f>Raw_Data!K656</f>
        <v/>
      </c>
      <c r="L656" s="4">
        <f>IF(TRIM(Raw_Data!L656)="","No Coupon",TRIM(Raw_Data!L656))</f>
        <v/>
      </c>
      <c r="M656" s="4">
        <f>PROPER(TRIM(Raw_Data!M656))</f>
        <v/>
      </c>
      <c r="N656" s="6">
        <f>ROUND(Raw_Data!N656,2)</f>
        <v/>
      </c>
      <c r="O656" s="7">
        <f>IF(COUNTIF($A$2:$A$1201,A656)&gt;1,"DUPLICATE","Unique")</f>
        <v/>
      </c>
      <c r="P656" s="7">
        <f>IF(COUNTIF($J$2:$J$1201,J656)&gt;1,"DUPLICATE","Unique")</f>
        <v/>
      </c>
      <c r="Q656" s="4">
        <f>IF(TRIM(Raw_Data!L656)="","Yes","No")</f>
        <v/>
      </c>
      <c r="R656" s="4">
        <f>IF(ISNUMBER(B656),"Valid","INVALID")</f>
        <v/>
      </c>
    </row>
    <row r="657">
      <c r="A657" s="4">
        <f>TRIM(Raw_Data!A657)</f>
        <v/>
      </c>
      <c r="B657" s="5">
        <f>Raw_Data!B657</f>
        <v/>
      </c>
      <c r="C657" s="4">
        <f>TRIM(Raw_Data!C657)</f>
        <v/>
      </c>
      <c r="D657" s="4">
        <f>PROPER(TRIM(Raw_Data!D657))</f>
        <v/>
      </c>
      <c r="E657" s="4">
        <f>Raw_Data!E657</f>
        <v/>
      </c>
      <c r="F657" s="6">
        <f>ROUND(Raw_Data!F657,2)</f>
        <v/>
      </c>
      <c r="G657" s="4">
        <f>PROPER(TRIM(Raw_Data!G657))</f>
        <v/>
      </c>
      <c r="H657" s="4">
        <f>PROPER(TRIM(Raw_Data!H657))</f>
        <v/>
      </c>
      <c r="I657" s="4">
        <f>PROPER(TRIM(Raw_Data!I657))</f>
        <v/>
      </c>
      <c r="J657" s="4">
        <f>TRIM(Raw_Data!J657)</f>
        <v/>
      </c>
      <c r="K657" s="4">
        <f>Raw_Data!K657</f>
        <v/>
      </c>
      <c r="L657" s="4">
        <f>IF(TRIM(Raw_Data!L657)="","No Coupon",TRIM(Raw_Data!L657))</f>
        <v/>
      </c>
      <c r="M657" s="4">
        <f>PROPER(TRIM(Raw_Data!M657))</f>
        <v/>
      </c>
      <c r="N657" s="6">
        <f>ROUND(Raw_Data!N657,2)</f>
        <v/>
      </c>
      <c r="O657" s="7">
        <f>IF(COUNTIF($A$2:$A$1201,A657)&gt;1,"DUPLICATE","Unique")</f>
        <v/>
      </c>
      <c r="P657" s="7">
        <f>IF(COUNTIF($J$2:$J$1201,J657)&gt;1,"DUPLICATE","Unique")</f>
        <v/>
      </c>
      <c r="Q657" s="4">
        <f>IF(TRIM(Raw_Data!L657)="","Yes","No")</f>
        <v/>
      </c>
      <c r="R657" s="4">
        <f>IF(ISNUMBER(B657),"Valid","INVALID")</f>
        <v/>
      </c>
    </row>
    <row r="658">
      <c r="A658" s="4">
        <f>TRIM(Raw_Data!A658)</f>
        <v/>
      </c>
      <c r="B658" s="5">
        <f>Raw_Data!B658</f>
        <v/>
      </c>
      <c r="C658" s="4">
        <f>TRIM(Raw_Data!C658)</f>
        <v/>
      </c>
      <c r="D658" s="4">
        <f>PROPER(TRIM(Raw_Data!D658))</f>
        <v/>
      </c>
      <c r="E658" s="4">
        <f>Raw_Data!E658</f>
        <v/>
      </c>
      <c r="F658" s="6">
        <f>ROUND(Raw_Data!F658,2)</f>
        <v/>
      </c>
      <c r="G658" s="4">
        <f>PROPER(TRIM(Raw_Data!G658))</f>
        <v/>
      </c>
      <c r="H658" s="4">
        <f>PROPER(TRIM(Raw_Data!H658))</f>
        <v/>
      </c>
      <c r="I658" s="4">
        <f>PROPER(TRIM(Raw_Data!I658))</f>
        <v/>
      </c>
      <c r="J658" s="4">
        <f>TRIM(Raw_Data!J658)</f>
        <v/>
      </c>
      <c r="K658" s="4">
        <f>Raw_Data!K658</f>
        <v/>
      </c>
      <c r="L658" s="4">
        <f>IF(TRIM(Raw_Data!L658)="","No Coupon",TRIM(Raw_Data!L658))</f>
        <v/>
      </c>
      <c r="M658" s="4">
        <f>PROPER(TRIM(Raw_Data!M658))</f>
        <v/>
      </c>
      <c r="N658" s="6">
        <f>ROUND(Raw_Data!N658,2)</f>
        <v/>
      </c>
      <c r="O658" s="7">
        <f>IF(COUNTIF($A$2:$A$1201,A658)&gt;1,"DUPLICATE","Unique")</f>
        <v/>
      </c>
      <c r="P658" s="7">
        <f>IF(COUNTIF($J$2:$J$1201,J658)&gt;1,"DUPLICATE","Unique")</f>
        <v/>
      </c>
      <c r="Q658" s="4">
        <f>IF(TRIM(Raw_Data!L658)="","Yes","No")</f>
        <v/>
      </c>
      <c r="R658" s="4">
        <f>IF(ISNUMBER(B658),"Valid","INVALID")</f>
        <v/>
      </c>
    </row>
    <row r="659">
      <c r="A659" s="4">
        <f>TRIM(Raw_Data!A659)</f>
        <v/>
      </c>
      <c r="B659" s="5">
        <f>Raw_Data!B659</f>
        <v/>
      </c>
      <c r="C659" s="4">
        <f>TRIM(Raw_Data!C659)</f>
        <v/>
      </c>
      <c r="D659" s="4">
        <f>PROPER(TRIM(Raw_Data!D659))</f>
        <v/>
      </c>
      <c r="E659" s="4">
        <f>Raw_Data!E659</f>
        <v/>
      </c>
      <c r="F659" s="6">
        <f>ROUND(Raw_Data!F659,2)</f>
        <v/>
      </c>
      <c r="G659" s="4">
        <f>PROPER(TRIM(Raw_Data!G659))</f>
        <v/>
      </c>
      <c r="H659" s="4">
        <f>PROPER(TRIM(Raw_Data!H659))</f>
        <v/>
      </c>
      <c r="I659" s="4">
        <f>PROPER(TRIM(Raw_Data!I659))</f>
        <v/>
      </c>
      <c r="J659" s="4">
        <f>TRIM(Raw_Data!J659)</f>
        <v/>
      </c>
      <c r="K659" s="4">
        <f>Raw_Data!K659</f>
        <v/>
      </c>
      <c r="L659" s="4">
        <f>IF(TRIM(Raw_Data!L659)="","No Coupon",TRIM(Raw_Data!L659))</f>
        <v/>
      </c>
      <c r="M659" s="4">
        <f>PROPER(TRIM(Raw_Data!M659))</f>
        <v/>
      </c>
      <c r="N659" s="6">
        <f>ROUND(Raw_Data!N659,2)</f>
        <v/>
      </c>
      <c r="O659" s="7">
        <f>IF(COUNTIF($A$2:$A$1201,A659)&gt;1,"DUPLICATE","Unique")</f>
        <v/>
      </c>
      <c r="P659" s="7">
        <f>IF(COUNTIF($J$2:$J$1201,J659)&gt;1,"DUPLICATE","Unique")</f>
        <v/>
      </c>
      <c r="Q659" s="4">
        <f>IF(TRIM(Raw_Data!L659)="","Yes","No")</f>
        <v/>
      </c>
      <c r="R659" s="4">
        <f>IF(ISNUMBER(B659),"Valid","INVALID")</f>
        <v/>
      </c>
    </row>
    <row r="660">
      <c r="A660" s="4">
        <f>TRIM(Raw_Data!A660)</f>
        <v/>
      </c>
      <c r="B660" s="5">
        <f>Raw_Data!B660</f>
        <v/>
      </c>
      <c r="C660" s="4">
        <f>TRIM(Raw_Data!C660)</f>
        <v/>
      </c>
      <c r="D660" s="4">
        <f>PROPER(TRIM(Raw_Data!D660))</f>
        <v/>
      </c>
      <c r="E660" s="4">
        <f>Raw_Data!E660</f>
        <v/>
      </c>
      <c r="F660" s="6">
        <f>ROUND(Raw_Data!F660,2)</f>
        <v/>
      </c>
      <c r="G660" s="4">
        <f>PROPER(TRIM(Raw_Data!G660))</f>
        <v/>
      </c>
      <c r="H660" s="4">
        <f>PROPER(TRIM(Raw_Data!H660))</f>
        <v/>
      </c>
      <c r="I660" s="4">
        <f>PROPER(TRIM(Raw_Data!I660))</f>
        <v/>
      </c>
      <c r="J660" s="4">
        <f>TRIM(Raw_Data!J660)</f>
        <v/>
      </c>
      <c r="K660" s="4">
        <f>Raw_Data!K660</f>
        <v/>
      </c>
      <c r="L660" s="4">
        <f>IF(TRIM(Raw_Data!L660)="","No Coupon",TRIM(Raw_Data!L660))</f>
        <v/>
      </c>
      <c r="M660" s="4">
        <f>PROPER(TRIM(Raw_Data!M660))</f>
        <v/>
      </c>
      <c r="N660" s="6">
        <f>ROUND(Raw_Data!N660,2)</f>
        <v/>
      </c>
      <c r="O660" s="7">
        <f>IF(COUNTIF($A$2:$A$1201,A660)&gt;1,"DUPLICATE","Unique")</f>
        <v/>
      </c>
      <c r="P660" s="7">
        <f>IF(COUNTIF($J$2:$J$1201,J660)&gt;1,"DUPLICATE","Unique")</f>
        <v/>
      </c>
      <c r="Q660" s="4">
        <f>IF(TRIM(Raw_Data!L660)="","Yes","No")</f>
        <v/>
      </c>
      <c r="R660" s="4">
        <f>IF(ISNUMBER(B660),"Valid","INVALID")</f>
        <v/>
      </c>
    </row>
    <row r="661">
      <c r="A661" s="4">
        <f>TRIM(Raw_Data!A661)</f>
        <v/>
      </c>
      <c r="B661" s="5">
        <f>Raw_Data!B661</f>
        <v/>
      </c>
      <c r="C661" s="4">
        <f>TRIM(Raw_Data!C661)</f>
        <v/>
      </c>
      <c r="D661" s="4">
        <f>PROPER(TRIM(Raw_Data!D661))</f>
        <v/>
      </c>
      <c r="E661" s="4">
        <f>Raw_Data!E661</f>
        <v/>
      </c>
      <c r="F661" s="6">
        <f>ROUND(Raw_Data!F661,2)</f>
        <v/>
      </c>
      <c r="G661" s="4">
        <f>PROPER(TRIM(Raw_Data!G661))</f>
        <v/>
      </c>
      <c r="H661" s="4">
        <f>PROPER(TRIM(Raw_Data!H661))</f>
        <v/>
      </c>
      <c r="I661" s="4">
        <f>PROPER(TRIM(Raw_Data!I661))</f>
        <v/>
      </c>
      <c r="J661" s="4">
        <f>TRIM(Raw_Data!J661)</f>
        <v/>
      </c>
      <c r="K661" s="4">
        <f>Raw_Data!K661</f>
        <v/>
      </c>
      <c r="L661" s="4">
        <f>IF(TRIM(Raw_Data!L661)="","No Coupon",TRIM(Raw_Data!L661))</f>
        <v/>
      </c>
      <c r="M661" s="4">
        <f>PROPER(TRIM(Raw_Data!M661))</f>
        <v/>
      </c>
      <c r="N661" s="6">
        <f>ROUND(Raw_Data!N661,2)</f>
        <v/>
      </c>
      <c r="O661" s="7">
        <f>IF(COUNTIF($A$2:$A$1201,A661)&gt;1,"DUPLICATE","Unique")</f>
        <v/>
      </c>
      <c r="P661" s="7">
        <f>IF(COUNTIF($J$2:$J$1201,J661)&gt;1,"DUPLICATE","Unique")</f>
        <v/>
      </c>
      <c r="Q661" s="4">
        <f>IF(TRIM(Raw_Data!L661)="","Yes","No")</f>
        <v/>
      </c>
      <c r="R661" s="4">
        <f>IF(ISNUMBER(B661),"Valid","INVALID")</f>
        <v/>
      </c>
    </row>
    <row r="662">
      <c r="A662" s="4">
        <f>TRIM(Raw_Data!A662)</f>
        <v/>
      </c>
      <c r="B662" s="5">
        <f>Raw_Data!B662</f>
        <v/>
      </c>
      <c r="C662" s="4">
        <f>TRIM(Raw_Data!C662)</f>
        <v/>
      </c>
      <c r="D662" s="4">
        <f>PROPER(TRIM(Raw_Data!D662))</f>
        <v/>
      </c>
      <c r="E662" s="4">
        <f>Raw_Data!E662</f>
        <v/>
      </c>
      <c r="F662" s="6">
        <f>ROUND(Raw_Data!F662,2)</f>
        <v/>
      </c>
      <c r="G662" s="4">
        <f>PROPER(TRIM(Raw_Data!G662))</f>
        <v/>
      </c>
      <c r="H662" s="4">
        <f>PROPER(TRIM(Raw_Data!H662))</f>
        <v/>
      </c>
      <c r="I662" s="4">
        <f>PROPER(TRIM(Raw_Data!I662))</f>
        <v/>
      </c>
      <c r="J662" s="4">
        <f>TRIM(Raw_Data!J662)</f>
        <v/>
      </c>
      <c r="K662" s="4">
        <f>Raw_Data!K662</f>
        <v/>
      </c>
      <c r="L662" s="4">
        <f>IF(TRIM(Raw_Data!L662)="","No Coupon",TRIM(Raw_Data!L662))</f>
        <v/>
      </c>
      <c r="M662" s="4">
        <f>PROPER(TRIM(Raw_Data!M662))</f>
        <v/>
      </c>
      <c r="N662" s="6">
        <f>ROUND(Raw_Data!N662,2)</f>
        <v/>
      </c>
      <c r="O662" s="7">
        <f>IF(COUNTIF($A$2:$A$1201,A662)&gt;1,"DUPLICATE","Unique")</f>
        <v/>
      </c>
      <c r="P662" s="7">
        <f>IF(COUNTIF($J$2:$J$1201,J662)&gt;1,"DUPLICATE","Unique")</f>
        <v/>
      </c>
      <c r="Q662" s="4">
        <f>IF(TRIM(Raw_Data!L662)="","Yes","No")</f>
        <v/>
      </c>
      <c r="R662" s="4">
        <f>IF(ISNUMBER(B662),"Valid","INVALID")</f>
        <v/>
      </c>
    </row>
    <row r="663">
      <c r="A663" s="4">
        <f>TRIM(Raw_Data!A663)</f>
        <v/>
      </c>
      <c r="B663" s="5">
        <f>Raw_Data!B663</f>
        <v/>
      </c>
      <c r="C663" s="4">
        <f>TRIM(Raw_Data!C663)</f>
        <v/>
      </c>
      <c r="D663" s="4">
        <f>PROPER(TRIM(Raw_Data!D663))</f>
        <v/>
      </c>
      <c r="E663" s="4">
        <f>Raw_Data!E663</f>
        <v/>
      </c>
      <c r="F663" s="6">
        <f>ROUND(Raw_Data!F663,2)</f>
        <v/>
      </c>
      <c r="G663" s="4">
        <f>PROPER(TRIM(Raw_Data!G663))</f>
        <v/>
      </c>
      <c r="H663" s="4">
        <f>PROPER(TRIM(Raw_Data!H663))</f>
        <v/>
      </c>
      <c r="I663" s="4">
        <f>PROPER(TRIM(Raw_Data!I663))</f>
        <v/>
      </c>
      <c r="J663" s="4">
        <f>TRIM(Raw_Data!J663)</f>
        <v/>
      </c>
      <c r="K663" s="4">
        <f>Raw_Data!K663</f>
        <v/>
      </c>
      <c r="L663" s="4">
        <f>IF(TRIM(Raw_Data!L663)="","No Coupon",TRIM(Raw_Data!L663))</f>
        <v/>
      </c>
      <c r="M663" s="4">
        <f>PROPER(TRIM(Raw_Data!M663))</f>
        <v/>
      </c>
      <c r="N663" s="6">
        <f>ROUND(Raw_Data!N663,2)</f>
        <v/>
      </c>
      <c r="O663" s="7">
        <f>IF(COUNTIF($A$2:$A$1201,A663)&gt;1,"DUPLICATE","Unique")</f>
        <v/>
      </c>
      <c r="P663" s="7">
        <f>IF(COUNTIF($J$2:$J$1201,J663)&gt;1,"DUPLICATE","Unique")</f>
        <v/>
      </c>
      <c r="Q663" s="4">
        <f>IF(TRIM(Raw_Data!L663)="","Yes","No")</f>
        <v/>
      </c>
      <c r="R663" s="4">
        <f>IF(ISNUMBER(B663),"Valid","INVALID")</f>
        <v/>
      </c>
    </row>
    <row r="664">
      <c r="A664" s="4">
        <f>TRIM(Raw_Data!A664)</f>
        <v/>
      </c>
      <c r="B664" s="5">
        <f>Raw_Data!B664</f>
        <v/>
      </c>
      <c r="C664" s="4">
        <f>TRIM(Raw_Data!C664)</f>
        <v/>
      </c>
      <c r="D664" s="4">
        <f>PROPER(TRIM(Raw_Data!D664))</f>
        <v/>
      </c>
      <c r="E664" s="4">
        <f>Raw_Data!E664</f>
        <v/>
      </c>
      <c r="F664" s="6">
        <f>ROUND(Raw_Data!F664,2)</f>
        <v/>
      </c>
      <c r="G664" s="4">
        <f>PROPER(TRIM(Raw_Data!G664))</f>
        <v/>
      </c>
      <c r="H664" s="4">
        <f>PROPER(TRIM(Raw_Data!H664))</f>
        <v/>
      </c>
      <c r="I664" s="4">
        <f>PROPER(TRIM(Raw_Data!I664))</f>
        <v/>
      </c>
      <c r="J664" s="4">
        <f>TRIM(Raw_Data!J664)</f>
        <v/>
      </c>
      <c r="K664" s="4">
        <f>Raw_Data!K664</f>
        <v/>
      </c>
      <c r="L664" s="4">
        <f>IF(TRIM(Raw_Data!L664)="","No Coupon",TRIM(Raw_Data!L664))</f>
        <v/>
      </c>
      <c r="M664" s="4">
        <f>PROPER(TRIM(Raw_Data!M664))</f>
        <v/>
      </c>
      <c r="N664" s="6">
        <f>ROUND(Raw_Data!N664,2)</f>
        <v/>
      </c>
      <c r="O664" s="7">
        <f>IF(COUNTIF($A$2:$A$1201,A664)&gt;1,"DUPLICATE","Unique")</f>
        <v/>
      </c>
      <c r="P664" s="7">
        <f>IF(COUNTIF($J$2:$J$1201,J664)&gt;1,"DUPLICATE","Unique")</f>
        <v/>
      </c>
      <c r="Q664" s="4">
        <f>IF(TRIM(Raw_Data!L664)="","Yes","No")</f>
        <v/>
      </c>
      <c r="R664" s="4">
        <f>IF(ISNUMBER(B664),"Valid","INVALID")</f>
        <v/>
      </c>
    </row>
    <row r="665">
      <c r="A665" s="4">
        <f>TRIM(Raw_Data!A665)</f>
        <v/>
      </c>
      <c r="B665" s="5">
        <f>Raw_Data!B665</f>
        <v/>
      </c>
      <c r="C665" s="4">
        <f>TRIM(Raw_Data!C665)</f>
        <v/>
      </c>
      <c r="D665" s="4">
        <f>PROPER(TRIM(Raw_Data!D665))</f>
        <v/>
      </c>
      <c r="E665" s="4">
        <f>Raw_Data!E665</f>
        <v/>
      </c>
      <c r="F665" s="6">
        <f>ROUND(Raw_Data!F665,2)</f>
        <v/>
      </c>
      <c r="G665" s="4">
        <f>PROPER(TRIM(Raw_Data!G665))</f>
        <v/>
      </c>
      <c r="H665" s="4">
        <f>PROPER(TRIM(Raw_Data!H665))</f>
        <v/>
      </c>
      <c r="I665" s="4">
        <f>PROPER(TRIM(Raw_Data!I665))</f>
        <v/>
      </c>
      <c r="J665" s="4">
        <f>TRIM(Raw_Data!J665)</f>
        <v/>
      </c>
      <c r="K665" s="4">
        <f>Raw_Data!K665</f>
        <v/>
      </c>
      <c r="L665" s="4">
        <f>IF(TRIM(Raw_Data!L665)="","No Coupon",TRIM(Raw_Data!L665))</f>
        <v/>
      </c>
      <c r="M665" s="4">
        <f>PROPER(TRIM(Raw_Data!M665))</f>
        <v/>
      </c>
      <c r="N665" s="6">
        <f>ROUND(Raw_Data!N665,2)</f>
        <v/>
      </c>
      <c r="O665" s="7">
        <f>IF(COUNTIF($A$2:$A$1201,A665)&gt;1,"DUPLICATE","Unique")</f>
        <v/>
      </c>
      <c r="P665" s="7">
        <f>IF(COUNTIF($J$2:$J$1201,J665)&gt;1,"DUPLICATE","Unique")</f>
        <v/>
      </c>
      <c r="Q665" s="4">
        <f>IF(TRIM(Raw_Data!L665)="","Yes","No")</f>
        <v/>
      </c>
      <c r="R665" s="4">
        <f>IF(ISNUMBER(B665),"Valid","INVALID")</f>
        <v/>
      </c>
    </row>
    <row r="666">
      <c r="A666" s="4">
        <f>TRIM(Raw_Data!A666)</f>
        <v/>
      </c>
      <c r="B666" s="5">
        <f>Raw_Data!B666</f>
        <v/>
      </c>
      <c r="C666" s="4">
        <f>TRIM(Raw_Data!C666)</f>
        <v/>
      </c>
      <c r="D666" s="4">
        <f>PROPER(TRIM(Raw_Data!D666))</f>
        <v/>
      </c>
      <c r="E666" s="4">
        <f>Raw_Data!E666</f>
        <v/>
      </c>
      <c r="F666" s="6">
        <f>ROUND(Raw_Data!F666,2)</f>
        <v/>
      </c>
      <c r="G666" s="4">
        <f>PROPER(TRIM(Raw_Data!G666))</f>
        <v/>
      </c>
      <c r="H666" s="4">
        <f>PROPER(TRIM(Raw_Data!H666))</f>
        <v/>
      </c>
      <c r="I666" s="4">
        <f>PROPER(TRIM(Raw_Data!I666))</f>
        <v/>
      </c>
      <c r="J666" s="4">
        <f>TRIM(Raw_Data!J666)</f>
        <v/>
      </c>
      <c r="K666" s="4">
        <f>Raw_Data!K666</f>
        <v/>
      </c>
      <c r="L666" s="4">
        <f>IF(TRIM(Raw_Data!L666)="","No Coupon",TRIM(Raw_Data!L666))</f>
        <v/>
      </c>
      <c r="M666" s="4">
        <f>PROPER(TRIM(Raw_Data!M666))</f>
        <v/>
      </c>
      <c r="N666" s="6">
        <f>ROUND(Raw_Data!N666,2)</f>
        <v/>
      </c>
      <c r="O666" s="7">
        <f>IF(COUNTIF($A$2:$A$1201,A666)&gt;1,"DUPLICATE","Unique")</f>
        <v/>
      </c>
      <c r="P666" s="7">
        <f>IF(COUNTIF($J$2:$J$1201,J666)&gt;1,"DUPLICATE","Unique")</f>
        <v/>
      </c>
      <c r="Q666" s="4">
        <f>IF(TRIM(Raw_Data!L666)="","Yes","No")</f>
        <v/>
      </c>
      <c r="R666" s="4">
        <f>IF(ISNUMBER(B666),"Valid","INVALID")</f>
        <v/>
      </c>
    </row>
    <row r="667">
      <c r="A667" s="4">
        <f>TRIM(Raw_Data!A667)</f>
        <v/>
      </c>
      <c r="B667" s="5">
        <f>Raw_Data!B667</f>
        <v/>
      </c>
      <c r="C667" s="4">
        <f>TRIM(Raw_Data!C667)</f>
        <v/>
      </c>
      <c r="D667" s="4">
        <f>PROPER(TRIM(Raw_Data!D667))</f>
        <v/>
      </c>
      <c r="E667" s="4">
        <f>Raw_Data!E667</f>
        <v/>
      </c>
      <c r="F667" s="6">
        <f>ROUND(Raw_Data!F667,2)</f>
        <v/>
      </c>
      <c r="G667" s="4">
        <f>PROPER(TRIM(Raw_Data!G667))</f>
        <v/>
      </c>
      <c r="H667" s="4">
        <f>PROPER(TRIM(Raw_Data!H667))</f>
        <v/>
      </c>
      <c r="I667" s="4">
        <f>PROPER(TRIM(Raw_Data!I667))</f>
        <v/>
      </c>
      <c r="J667" s="4">
        <f>TRIM(Raw_Data!J667)</f>
        <v/>
      </c>
      <c r="K667" s="4">
        <f>Raw_Data!K667</f>
        <v/>
      </c>
      <c r="L667" s="4">
        <f>IF(TRIM(Raw_Data!L667)="","No Coupon",TRIM(Raw_Data!L667))</f>
        <v/>
      </c>
      <c r="M667" s="4">
        <f>PROPER(TRIM(Raw_Data!M667))</f>
        <v/>
      </c>
      <c r="N667" s="6">
        <f>ROUND(Raw_Data!N667,2)</f>
        <v/>
      </c>
      <c r="O667" s="7">
        <f>IF(COUNTIF($A$2:$A$1201,A667)&gt;1,"DUPLICATE","Unique")</f>
        <v/>
      </c>
      <c r="P667" s="7">
        <f>IF(COUNTIF($J$2:$J$1201,J667)&gt;1,"DUPLICATE","Unique")</f>
        <v/>
      </c>
      <c r="Q667" s="4">
        <f>IF(TRIM(Raw_Data!L667)="","Yes","No")</f>
        <v/>
      </c>
      <c r="R667" s="4">
        <f>IF(ISNUMBER(B667),"Valid","INVALID")</f>
        <v/>
      </c>
    </row>
    <row r="668">
      <c r="A668" s="4">
        <f>TRIM(Raw_Data!A668)</f>
        <v/>
      </c>
      <c r="B668" s="5">
        <f>Raw_Data!B668</f>
        <v/>
      </c>
      <c r="C668" s="4">
        <f>TRIM(Raw_Data!C668)</f>
        <v/>
      </c>
      <c r="D668" s="4">
        <f>PROPER(TRIM(Raw_Data!D668))</f>
        <v/>
      </c>
      <c r="E668" s="4">
        <f>Raw_Data!E668</f>
        <v/>
      </c>
      <c r="F668" s="6">
        <f>ROUND(Raw_Data!F668,2)</f>
        <v/>
      </c>
      <c r="G668" s="4">
        <f>PROPER(TRIM(Raw_Data!G668))</f>
        <v/>
      </c>
      <c r="H668" s="4">
        <f>PROPER(TRIM(Raw_Data!H668))</f>
        <v/>
      </c>
      <c r="I668" s="4">
        <f>PROPER(TRIM(Raw_Data!I668))</f>
        <v/>
      </c>
      <c r="J668" s="4">
        <f>TRIM(Raw_Data!J668)</f>
        <v/>
      </c>
      <c r="K668" s="4">
        <f>Raw_Data!K668</f>
        <v/>
      </c>
      <c r="L668" s="4">
        <f>IF(TRIM(Raw_Data!L668)="","No Coupon",TRIM(Raw_Data!L668))</f>
        <v/>
      </c>
      <c r="M668" s="4">
        <f>PROPER(TRIM(Raw_Data!M668))</f>
        <v/>
      </c>
      <c r="N668" s="6">
        <f>ROUND(Raw_Data!N668,2)</f>
        <v/>
      </c>
      <c r="O668" s="7">
        <f>IF(COUNTIF($A$2:$A$1201,A668)&gt;1,"DUPLICATE","Unique")</f>
        <v/>
      </c>
      <c r="P668" s="7">
        <f>IF(COUNTIF($J$2:$J$1201,J668)&gt;1,"DUPLICATE","Unique")</f>
        <v/>
      </c>
      <c r="Q668" s="4">
        <f>IF(TRIM(Raw_Data!L668)="","Yes","No")</f>
        <v/>
      </c>
      <c r="R668" s="4">
        <f>IF(ISNUMBER(B668),"Valid","INVALID")</f>
        <v/>
      </c>
    </row>
    <row r="669">
      <c r="A669" s="4">
        <f>TRIM(Raw_Data!A669)</f>
        <v/>
      </c>
      <c r="B669" s="5">
        <f>Raw_Data!B669</f>
        <v/>
      </c>
      <c r="C669" s="4">
        <f>TRIM(Raw_Data!C669)</f>
        <v/>
      </c>
      <c r="D669" s="4">
        <f>PROPER(TRIM(Raw_Data!D669))</f>
        <v/>
      </c>
      <c r="E669" s="4">
        <f>Raw_Data!E669</f>
        <v/>
      </c>
      <c r="F669" s="6">
        <f>ROUND(Raw_Data!F669,2)</f>
        <v/>
      </c>
      <c r="G669" s="4">
        <f>PROPER(TRIM(Raw_Data!G669))</f>
        <v/>
      </c>
      <c r="H669" s="4">
        <f>PROPER(TRIM(Raw_Data!H669))</f>
        <v/>
      </c>
      <c r="I669" s="4">
        <f>PROPER(TRIM(Raw_Data!I669))</f>
        <v/>
      </c>
      <c r="J669" s="4">
        <f>TRIM(Raw_Data!J669)</f>
        <v/>
      </c>
      <c r="K669" s="4">
        <f>Raw_Data!K669</f>
        <v/>
      </c>
      <c r="L669" s="4">
        <f>IF(TRIM(Raw_Data!L669)="","No Coupon",TRIM(Raw_Data!L669))</f>
        <v/>
      </c>
      <c r="M669" s="4">
        <f>PROPER(TRIM(Raw_Data!M669))</f>
        <v/>
      </c>
      <c r="N669" s="6">
        <f>ROUND(Raw_Data!N669,2)</f>
        <v/>
      </c>
      <c r="O669" s="7">
        <f>IF(COUNTIF($A$2:$A$1201,A669)&gt;1,"DUPLICATE","Unique")</f>
        <v/>
      </c>
      <c r="P669" s="7">
        <f>IF(COUNTIF($J$2:$J$1201,J669)&gt;1,"DUPLICATE","Unique")</f>
        <v/>
      </c>
      <c r="Q669" s="4">
        <f>IF(TRIM(Raw_Data!L669)="","Yes","No")</f>
        <v/>
      </c>
      <c r="R669" s="4">
        <f>IF(ISNUMBER(B669),"Valid","INVALID")</f>
        <v/>
      </c>
    </row>
    <row r="670">
      <c r="A670" s="4">
        <f>TRIM(Raw_Data!A670)</f>
        <v/>
      </c>
      <c r="B670" s="5">
        <f>Raw_Data!B670</f>
        <v/>
      </c>
      <c r="C670" s="4">
        <f>TRIM(Raw_Data!C670)</f>
        <v/>
      </c>
      <c r="D670" s="4">
        <f>PROPER(TRIM(Raw_Data!D670))</f>
        <v/>
      </c>
      <c r="E670" s="4">
        <f>Raw_Data!E670</f>
        <v/>
      </c>
      <c r="F670" s="6">
        <f>ROUND(Raw_Data!F670,2)</f>
        <v/>
      </c>
      <c r="G670" s="4">
        <f>PROPER(TRIM(Raw_Data!G670))</f>
        <v/>
      </c>
      <c r="H670" s="4">
        <f>PROPER(TRIM(Raw_Data!H670))</f>
        <v/>
      </c>
      <c r="I670" s="4">
        <f>PROPER(TRIM(Raw_Data!I670))</f>
        <v/>
      </c>
      <c r="J670" s="4">
        <f>TRIM(Raw_Data!J670)</f>
        <v/>
      </c>
      <c r="K670" s="4">
        <f>Raw_Data!K670</f>
        <v/>
      </c>
      <c r="L670" s="4">
        <f>IF(TRIM(Raw_Data!L670)="","No Coupon",TRIM(Raw_Data!L670))</f>
        <v/>
      </c>
      <c r="M670" s="4">
        <f>PROPER(TRIM(Raw_Data!M670))</f>
        <v/>
      </c>
      <c r="N670" s="6">
        <f>ROUND(Raw_Data!N670,2)</f>
        <v/>
      </c>
      <c r="O670" s="7">
        <f>IF(COUNTIF($A$2:$A$1201,A670)&gt;1,"DUPLICATE","Unique")</f>
        <v/>
      </c>
      <c r="P670" s="7">
        <f>IF(COUNTIF($J$2:$J$1201,J670)&gt;1,"DUPLICATE","Unique")</f>
        <v/>
      </c>
      <c r="Q670" s="4">
        <f>IF(TRIM(Raw_Data!L670)="","Yes","No")</f>
        <v/>
      </c>
      <c r="R670" s="4">
        <f>IF(ISNUMBER(B670),"Valid","INVALID")</f>
        <v/>
      </c>
    </row>
    <row r="671">
      <c r="A671" s="4">
        <f>TRIM(Raw_Data!A671)</f>
        <v/>
      </c>
      <c r="B671" s="5">
        <f>Raw_Data!B671</f>
        <v/>
      </c>
      <c r="C671" s="4">
        <f>TRIM(Raw_Data!C671)</f>
        <v/>
      </c>
      <c r="D671" s="4">
        <f>PROPER(TRIM(Raw_Data!D671))</f>
        <v/>
      </c>
      <c r="E671" s="4">
        <f>Raw_Data!E671</f>
        <v/>
      </c>
      <c r="F671" s="6">
        <f>ROUND(Raw_Data!F671,2)</f>
        <v/>
      </c>
      <c r="G671" s="4">
        <f>PROPER(TRIM(Raw_Data!G671))</f>
        <v/>
      </c>
      <c r="H671" s="4">
        <f>PROPER(TRIM(Raw_Data!H671))</f>
        <v/>
      </c>
      <c r="I671" s="4">
        <f>PROPER(TRIM(Raw_Data!I671))</f>
        <v/>
      </c>
      <c r="J671" s="4">
        <f>TRIM(Raw_Data!J671)</f>
        <v/>
      </c>
      <c r="K671" s="4">
        <f>Raw_Data!K671</f>
        <v/>
      </c>
      <c r="L671" s="4">
        <f>IF(TRIM(Raw_Data!L671)="","No Coupon",TRIM(Raw_Data!L671))</f>
        <v/>
      </c>
      <c r="M671" s="4">
        <f>PROPER(TRIM(Raw_Data!M671))</f>
        <v/>
      </c>
      <c r="N671" s="6">
        <f>ROUND(Raw_Data!N671,2)</f>
        <v/>
      </c>
      <c r="O671" s="7">
        <f>IF(COUNTIF($A$2:$A$1201,A671)&gt;1,"DUPLICATE","Unique")</f>
        <v/>
      </c>
      <c r="P671" s="7">
        <f>IF(COUNTIF($J$2:$J$1201,J671)&gt;1,"DUPLICATE","Unique")</f>
        <v/>
      </c>
      <c r="Q671" s="4">
        <f>IF(TRIM(Raw_Data!L671)="","Yes","No")</f>
        <v/>
      </c>
      <c r="R671" s="4">
        <f>IF(ISNUMBER(B671),"Valid","INVALID")</f>
        <v/>
      </c>
    </row>
    <row r="672">
      <c r="A672" s="4">
        <f>TRIM(Raw_Data!A672)</f>
        <v/>
      </c>
      <c r="B672" s="5">
        <f>Raw_Data!B672</f>
        <v/>
      </c>
      <c r="C672" s="4">
        <f>TRIM(Raw_Data!C672)</f>
        <v/>
      </c>
      <c r="D672" s="4">
        <f>PROPER(TRIM(Raw_Data!D672))</f>
        <v/>
      </c>
      <c r="E672" s="4">
        <f>Raw_Data!E672</f>
        <v/>
      </c>
      <c r="F672" s="6">
        <f>ROUND(Raw_Data!F672,2)</f>
        <v/>
      </c>
      <c r="G672" s="4">
        <f>PROPER(TRIM(Raw_Data!G672))</f>
        <v/>
      </c>
      <c r="H672" s="4">
        <f>PROPER(TRIM(Raw_Data!H672))</f>
        <v/>
      </c>
      <c r="I672" s="4">
        <f>PROPER(TRIM(Raw_Data!I672))</f>
        <v/>
      </c>
      <c r="J672" s="4">
        <f>TRIM(Raw_Data!J672)</f>
        <v/>
      </c>
      <c r="K672" s="4">
        <f>Raw_Data!K672</f>
        <v/>
      </c>
      <c r="L672" s="4">
        <f>IF(TRIM(Raw_Data!L672)="","No Coupon",TRIM(Raw_Data!L672))</f>
        <v/>
      </c>
      <c r="M672" s="4">
        <f>PROPER(TRIM(Raw_Data!M672))</f>
        <v/>
      </c>
      <c r="N672" s="6">
        <f>ROUND(Raw_Data!N672,2)</f>
        <v/>
      </c>
      <c r="O672" s="7">
        <f>IF(COUNTIF($A$2:$A$1201,A672)&gt;1,"DUPLICATE","Unique")</f>
        <v/>
      </c>
      <c r="P672" s="7">
        <f>IF(COUNTIF($J$2:$J$1201,J672)&gt;1,"DUPLICATE","Unique")</f>
        <v/>
      </c>
      <c r="Q672" s="4">
        <f>IF(TRIM(Raw_Data!L672)="","Yes","No")</f>
        <v/>
      </c>
      <c r="R672" s="4">
        <f>IF(ISNUMBER(B672),"Valid","INVALID")</f>
        <v/>
      </c>
    </row>
    <row r="673">
      <c r="A673" s="4">
        <f>TRIM(Raw_Data!A673)</f>
        <v/>
      </c>
      <c r="B673" s="5">
        <f>Raw_Data!B673</f>
        <v/>
      </c>
      <c r="C673" s="4">
        <f>TRIM(Raw_Data!C673)</f>
        <v/>
      </c>
      <c r="D673" s="4">
        <f>PROPER(TRIM(Raw_Data!D673))</f>
        <v/>
      </c>
      <c r="E673" s="4">
        <f>Raw_Data!E673</f>
        <v/>
      </c>
      <c r="F673" s="6">
        <f>ROUND(Raw_Data!F673,2)</f>
        <v/>
      </c>
      <c r="G673" s="4">
        <f>PROPER(TRIM(Raw_Data!G673))</f>
        <v/>
      </c>
      <c r="H673" s="4">
        <f>PROPER(TRIM(Raw_Data!H673))</f>
        <v/>
      </c>
      <c r="I673" s="4">
        <f>PROPER(TRIM(Raw_Data!I673))</f>
        <v/>
      </c>
      <c r="J673" s="4">
        <f>TRIM(Raw_Data!J673)</f>
        <v/>
      </c>
      <c r="K673" s="4">
        <f>Raw_Data!K673</f>
        <v/>
      </c>
      <c r="L673" s="4">
        <f>IF(TRIM(Raw_Data!L673)="","No Coupon",TRIM(Raw_Data!L673))</f>
        <v/>
      </c>
      <c r="M673" s="4">
        <f>PROPER(TRIM(Raw_Data!M673))</f>
        <v/>
      </c>
      <c r="N673" s="6">
        <f>ROUND(Raw_Data!N673,2)</f>
        <v/>
      </c>
      <c r="O673" s="7">
        <f>IF(COUNTIF($A$2:$A$1201,A673)&gt;1,"DUPLICATE","Unique")</f>
        <v/>
      </c>
      <c r="P673" s="7">
        <f>IF(COUNTIF($J$2:$J$1201,J673)&gt;1,"DUPLICATE","Unique")</f>
        <v/>
      </c>
      <c r="Q673" s="4">
        <f>IF(TRIM(Raw_Data!L673)="","Yes","No")</f>
        <v/>
      </c>
      <c r="R673" s="4">
        <f>IF(ISNUMBER(B673),"Valid","INVALID")</f>
        <v/>
      </c>
    </row>
    <row r="674">
      <c r="A674" s="4">
        <f>TRIM(Raw_Data!A674)</f>
        <v/>
      </c>
      <c r="B674" s="5">
        <f>Raw_Data!B674</f>
        <v/>
      </c>
      <c r="C674" s="4">
        <f>TRIM(Raw_Data!C674)</f>
        <v/>
      </c>
      <c r="D674" s="4">
        <f>PROPER(TRIM(Raw_Data!D674))</f>
        <v/>
      </c>
      <c r="E674" s="4">
        <f>Raw_Data!E674</f>
        <v/>
      </c>
      <c r="F674" s="6">
        <f>ROUND(Raw_Data!F674,2)</f>
        <v/>
      </c>
      <c r="G674" s="4">
        <f>PROPER(TRIM(Raw_Data!G674))</f>
        <v/>
      </c>
      <c r="H674" s="4">
        <f>PROPER(TRIM(Raw_Data!H674))</f>
        <v/>
      </c>
      <c r="I674" s="4">
        <f>PROPER(TRIM(Raw_Data!I674))</f>
        <v/>
      </c>
      <c r="J674" s="4">
        <f>TRIM(Raw_Data!J674)</f>
        <v/>
      </c>
      <c r="K674" s="4">
        <f>Raw_Data!K674</f>
        <v/>
      </c>
      <c r="L674" s="4">
        <f>IF(TRIM(Raw_Data!L674)="","No Coupon",TRIM(Raw_Data!L674))</f>
        <v/>
      </c>
      <c r="M674" s="4">
        <f>PROPER(TRIM(Raw_Data!M674))</f>
        <v/>
      </c>
      <c r="N674" s="6">
        <f>ROUND(Raw_Data!N674,2)</f>
        <v/>
      </c>
      <c r="O674" s="7">
        <f>IF(COUNTIF($A$2:$A$1201,A674)&gt;1,"DUPLICATE","Unique")</f>
        <v/>
      </c>
      <c r="P674" s="7">
        <f>IF(COUNTIF($J$2:$J$1201,J674)&gt;1,"DUPLICATE","Unique")</f>
        <v/>
      </c>
      <c r="Q674" s="4">
        <f>IF(TRIM(Raw_Data!L674)="","Yes","No")</f>
        <v/>
      </c>
      <c r="R674" s="4">
        <f>IF(ISNUMBER(B674),"Valid","INVALID")</f>
        <v/>
      </c>
    </row>
    <row r="675">
      <c r="A675" s="4">
        <f>TRIM(Raw_Data!A675)</f>
        <v/>
      </c>
      <c r="B675" s="5">
        <f>Raw_Data!B675</f>
        <v/>
      </c>
      <c r="C675" s="4">
        <f>TRIM(Raw_Data!C675)</f>
        <v/>
      </c>
      <c r="D675" s="4">
        <f>PROPER(TRIM(Raw_Data!D675))</f>
        <v/>
      </c>
      <c r="E675" s="4">
        <f>Raw_Data!E675</f>
        <v/>
      </c>
      <c r="F675" s="6">
        <f>ROUND(Raw_Data!F675,2)</f>
        <v/>
      </c>
      <c r="G675" s="4">
        <f>PROPER(TRIM(Raw_Data!G675))</f>
        <v/>
      </c>
      <c r="H675" s="4">
        <f>PROPER(TRIM(Raw_Data!H675))</f>
        <v/>
      </c>
      <c r="I675" s="4">
        <f>PROPER(TRIM(Raw_Data!I675))</f>
        <v/>
      </c>
      <c r="J675" s="4">
        <f>TRIM(Raw_Data!J675)</f>
        <v/>
      </c>
      <c r="K675" s="4">
        <f>Raw_Data!K675</f>
        <v/>
      </c>
      <c r="L675" s="4">
        <f>IF(TRIM(Raw_Data!L675)="","No Coupon",TRIM(Raw_Data!L675))</f>
        <v/>
      </c>
      <c r="M675" s="4">
        <f>PROPER(TRIM(Raw_Data!M675))</f>
        <v/>
      </c>
      <c r="N675" s="6">
        <f>ROUND(Raw_Data!N675,2)</f>
        <v/>
      </c>
      <c r="O675" s="7">
        <f>IF(COUNTIF($A$2:$A$1201,A675)&gt;1,"DUPLICATE","Unique")</f>
        <v/>
      </c>
      <c r="P675" s="7">
        <f>IF(COUNTIF($J$2:$J$1201,J675)&gt;1,"DUPLICATE","Unique")</f>
        <v/>
      </c>
      <c r="Q675" s="4">
        <f>IF(TRIM(Raw_Data!L675)="","Yes","No")</f>
        <v/>
      </c>
      <c r="R675" s="4">
        <f>IF(ISNUMBER(B675),"Valid","INVALID")</f>
        <v/>
      </c>
    </row>
    <row r="676">
      <c r="A676" s="4">
        <f>TRIM(Raw_Data!A676)</f>
        <v/>
      </c>
      <c r="B676" s="5">
        <f>Raw_Data!B676</f>
        <v/>
      </c>
      <c r="C676" s="4">
        <f>TRIM(Raw_Data!C676)</f>
        <v/>
      </c>
      <c r="D676" s="4">
        <f>PROPER(TRIM(Raw_Data!D676))</f>
        <v/>
      </c>
      <c r="E676" s="4">
        <f>Raw_Data!E676</f>
        <v/>
      </c>
      <c r="F676" s="6">
        <f>ROUND(Raw_Data!F676,2)</f>
        <v/>
      </c>
      <c r="G676" s="4">
        <f>PROPER(TRIM(Raw_Data!G676))</f>
        <v/>
      </c>
      <c r="H676" s="4">
        <f>PROPER(TRIM(Raw_Data!H676))</f>
        <v/>
      </c>
      <c r="I676" s="4">
        <f>PROPER(TRIM(Raw_Data!I676))</f>
        <v/>
      </c>
      <c r="J676" s="4">
        <f>TRIM(Raw_Data!J676)</f>
        <v/>
      </c>
      <c r="K676" s="4">
        <f>Raw_Data!K676</f>
        <v/>
      </c>
      <c r="L676" s="4">
        <f>IF(TRIM(Raw_Data!L676)="","No Coupon",TRIM(Raw_Data!L676))</f>
        <v/>
      </c>
      <c r="M676" s="4">
        <f>PROPER(TRIM(Raw_Data!M676))</f>
        <v/>
      </c>
      <c r="N676" s="6">
        <f>ROUND(Raw_Data!N676,2)</f>
        <v/>
      </c>
      <c r="O676" s="7">
        <f>IF(COUNTIF($A$2:$A$1201,A676)&gt;1,"DUPLICATE","Unique")</f>
        <v/>
      </c>
      <c r="P676" s="7">
        <f>IF(COUNTIF($J$2:$J$1201,J676)&gt;1,"DUPLICATE","Unique")</f>
        <v/>
      </c>
      <c r="Q676" s="4">
        <f>IF(TRIM(Raw_Data!L676)="","Yes","No")</f>
        <v/>
      </c>
      <c r="R676" s="4">
        <f>IF(ISNUMBER(B676),"Valid","INVALID")</f>
        <v/>
      </c>
    </row>
    <row r="677">
      <c r="A677" s="4">
        <f>TRIM(Raw_Data!A677)</f>
        <v/>
      </c>
      <c r="B677" s="5">
        <f>Raw_Data!B677</f>
        <v/>
      </c>
      <c r="C677" s="4">
        <f>TRIM(Raw_Data!C677)</f>
        <v/>
      </c>
      <c r="D677" s="4">
        <f>PROPER(TRIM(Raw_Data!D677))</f>
        <v/>
      </c>
      <c r="E677" s="4">
        <f>Raw_Data!E677</f>
        <v/>
      </c>
      <c r="F677" s="6">
        <f>ROUND(Raw_Data!F677,2)</f>
        <v/>
      </c>
      <c r="G677" s="4">
        <f>PROPER(TRIM(Raw_Data!G677))</f>
        <v/>
      </c>
      <c r="H677" s="4">
        <f>PROPER(TRIM(Raw_Data!H677))</f>
        <v/>
      </c>
      <c r="I677" s="4">
        <f>PROPER(TRIM(Raw_Data!I677))</f>
        <v/>
      </c>
      <c r="J677" s="4">
        <f>TRIM(Raw_Data!J677)</f>
        <v/>
      </c>
      <c r="K677" s="4">
        <f>Raw_Data!K677</f>
        <v/>
      </c>
      <c r="L677" s="4">
        <f>IF(TRIM(Raw_Data!L677)="","No Coupon",TRIM(Raw_Data!L677))</f>
        <v/>
      </c>
      <c r="M677" s="4">
        <f>PROPER(TRIM(Raw_Data!M677))</f>
        <v/>
      </c>
      <c r="N677" s="6">
        <f>ROUND(Raw_Data!N677,2)</f>
        <v/>
      </c>
      <c r="O677" s="7">
        <f>IF(COUNTIF($A$2:$A$1201,A677)&gt;1,"DUPLICATE","Unique")</f>
        <v/>
      </c>
      <c r="P677" s="7">
        <f>IF(COUNTIF($J$2:$J$1201,J677)&gt;1,"DUPLICATE","Unique")</f>
        <v/>
      </c>
      <c r="Q677" s="4">
        <f>IF(TRIM(Raw_Data!L677)="","Yes","No")</f>
        <v/>
      </c>
      <c r="R677" s="4">
        <f>IF(ISNUMBER(B677),"Valid","INVALID")</f>
        <v/>
      </c>
    </row>
    <row r="678">
      <c r="A678" s="4">
        <f>TRIM(Raw_Data!A678)</f>
        <v/>
      </c>
      <c r="B678" s="5">
        <f>Raw_Data!B678</f>
        <v/>
      </c>
      <c r="C678" s="4">
        <f>TRIM(Raw_Data!C678)</f>
        <v/>
      </c>
      <c r="D678" s="4">
        <f>PROPER(TRIM(Raw_Data!D678))</f>
        <v/>
      </c>
      <c r="E678" s="4">
        <f>Raw_Data!E678</f>
        <v/>
      </c>
      <c r="F678" s="6">
        <f>ROUND(Raw_Data!F678,2)</f>
        <v/>
      </c>
      <c r="G678" s="4">
        <f>PROPER(TRIM(Raw_Data!G678))</f>
        <v/>
      </c>
      <c r="H678" s="4">
        <f>PROPER(TRIM(Raw_Data!H678))</f>
        <v/>
      </c>
      <c r="I678" s="4">
        <f>PROPER(TRIM(Raw_Data!I678))</f>
        <v/>
      </c>
      <c r="J678" s="4">
        <f>TRIM(Raw_Data!J678)</f>
        <v/>
      </c>
      <c r="K678" s="4">
        <f>Raw_Data!K678</f>
        <v/>
      </c>
      <c r="L678" s="4">
        <f>IF(TRIM(Raw_Data!L678)="","No Coupon",TRIM(Raw_Data!L678))</f>
        <v/>
      </c>
      <c r="M678" s="4">
        <f>PROPER(TRIM(Raw_Data!M678))</f>
        <v/>
      </c>
      <c r="N678" s="6">
        <f>ROUND(Raw_Data!N678,2)</f>
        <v/>
      </c>
      <c r="O678" s="7">
        <f>IF(COUNTIF($A$2:$A$1201,A678)&gt;1,"DUPLICATE","Unique")</f>
        <v/>
      </c>
      <c r="P678" s="7">
        <f>IF(COUNTIF($J$2:$J$1201,J678)&gt;1,"DUPLICATE","Unique")</f>
        <v/>
      </c>
      <c r="Q678" s="4">
        <f>IF(TRIM(Raw_Data!L678)="","Yes","No")</f>
        <v/>
      </c>
      <c r="R678" s="4">
        <f>IF(ISNUMBER(B678),"Valid","INVALID")</f>
        <v/>
      </c>
    </row>
    <row r="679">
      <c r="A679" s="4">
        <f>TRIM(Raw_Data!A679)</f>
        <v/>
      </c>
      <c r="B679" s="5">
        <f>Raw_Data!B679</f>
        <v/>
      </c>
      <c r="C679" s="4">
        <f>TRIM(Raw_Data!C679)</f>
        <v/>
      </c>
      <c r="D679" s="4">
        <f>PROPER(TRIM(Raw_Data!D679))</f>
        <v/>
      </c>
      <c r="E679" s="4">
        <f>Raw_Data!E679</f>
        <v/>
      </c>
      <c r="F679" s="6">
        <f>ROUND(Raw_Data!F679,2)</f>
        <v/>
      </c>
      <c r="G679" s="4">
        <f>PROPER(TRIM(Raw_Data!G679))</f>
        <v/>
      </c>
      <c r="H679" s="4">
        <f>PROPER(TRIM(Raw_Data!H679))</f>
        <v/>
      </c>
      <c r="I679" s="4">
        <f>PROPER(TRIM(Raw_Data!I679))</f>
        <v/>
      </c>
      <c r="J679" s="4">
        <f>TRIM(Raw_Data!J679)</f>
        <v/>
      </c>
      <c r="K679" s="4">
        <f>Raw_Data!K679</f>
        <v/>
      </c>
      <c r="L679" s="4">
        <f>IF(TRIM(Raw_Data!L679)="","No Coupon",TRIM(Raw_Data!L679))</f>
        <v/>
      </c>
      <c r="M679" s="4">
        <f>PROPER(TRIM(Raw_Data!M679))</f>
        <v/>
      </c>
      <c r="N679" s="6">
        <f>ROUND(Raw_Data!N679,2)</f>
        <v/>
      </c>
      <c r="O679" s="7">
        <f>IF(COUNTIF($A$2:$A$1201,A679)&gt;1,"DUPLICATE","Unique")</f>
        <v/>
      </c>
      <c r="P679" s="7">
        <f>IF(COUNTIF($J$2:$J$1201,J679)&gt;1,"DUPLICATE","Unique")</f>
        <v/>
      </c>
      <c r="Q679" s="4">
        <f>IF(TRIM(Raw_Data!L679)="","Yes","No")</f>
        <v/>
      </c>
      <c r="R679" s="4">
        <f>IF(ISNUMBER(B679),"Valid","INVALID")</f>
        <v/>
      </c>
    </row>
    <row r="680">
      <c r="A680" s="4">
        <f>TRIM(Raw_Data!A680)</f>
        <v/>
      </c>
      <c r="B680" s="5">
        <f>Raw_Data!B680</f>
        <v/>
      </c>
      <c r="C680" s="4">
        <f>TRIM(Raw_Data!C680)</f>
        <v/>
      </c>
      <c r="D680" s="4">
        <f>PROPER(TRIM(Raw_Data!D680))</f>
        <v/>
      </c>
      <c r="E680" s="4">
        <f>Raw_Data!E680</f>
        <v/>
      </c>
      <c r="F680" s="6">
        <f>ROUND(Raw_Data!F680,2)</f>
        <v/>
      </c>
      <c r="G680" s="4">
        <f>PROPER(TRIM(Raw_Data!G680))</f>
        <v/>
      </c>
      <c r="H680" s="4">
        <f>PROPER(TRIM(Raw_Data!H680))</f>
        <v/>
      </c>
      <c r="I680" s="4">
        <f>PROPER(TRIM(Raw_Data!I680))</f>
        <v/>
      </c>
      <c r="J680" s="4">
        <f>TRIM(Raw_Data!J680)</f>
        <v/>
      </c>
      <c r="K680" s="4">
        <f>Raw_Data!K680</f>
        <v/>
      </c>
      <c r="L680" s="4">
        <f>IF(TRIM(Raw_Data!L680)="","No Coupon",TRIM(Raw_Data!L680))</f>
        <v/>
      </c>
      <c r="M680" s="4">
        <f>PROPER(TRIM(Raw_Data!M680))</f>
        <v/>
      </c>
      <c r="N680" s="6">
        <f>ROUND(Raw_Data!N680,2)</f>
        <v/>
      </c>
      <c r="O680" s="7">
        <f>IF(COUNTIF($A$2:$A$1201,A680)&gt;1,"DUPLICATE","Unique")</f>
        <v/>
      </c>
      <c r="P680" s="7">
        <f>IF(COUNTIF($J$2:$J$1201,J680)&gt;1,"DUPLICATE","Unique")</f>
        <v/>
      </c>
      <c r="Q680" s="4">
        <f>IF(TRIM(Raw_Data!L680)="","Yes","No")</f>
        <v/>
      </c>
      <c r="R680" s="4">
        <f>IF(ISNUMBER(B680),"Valid","INVALID")</f>
        <v/>
      </c>
    </row>
    <row r="681">
      <c r="A681" s="4">
        <f>TRIM(Raw_Data!A681)</f>
        <v/>
      </c>
      <c r="B681" s="5">
        <f>Raw_Data!B681</f>
        <v/>
      </c>
      <c r="C681" s="4">
        <f>TRIM(Raw_Data!C681)</f>
        <v/>
      </c>
      <c r="D681" s="4">
        <f>PROPER(TRIM(Raw_Data!D681))</f>
        <v/>
      </c>
      <c r="E681" s="4">
        <f>Raw_Data!E681</f>
        <v/>
      </c>
      <c r="F681" s="6">
        <f>ROUND(Raw_Data!F681,2)</f>
        <v/>
      </c>
      <c r="G681" s="4">
        <f>PROPER(TRIM(Raw_Data!G681))</f>
        <v/>
      </c>
      <c r="H681" s="4">
        <f>PROPER(TRIM(Raw_Data!H681))</f>
        <v/>
      </c>
      <c r="I681" s="4">
        <f>PROPER(TRIM(Raw_Data!I681))</f>
        <v/>
      </c>
      <c r="J681" s="4">
        <f>TRIM(Raw_Data!J681)</f>
        <v/>
      </c>
      <c r="K681" s="4">
        <f>Raw_Data!K681</f>
        <v/>
      </c>
      <c r="L681" s="4">
        <f>IF(TRIM(Raw_Data!L681)="","No Coupon",TRIM(Raw_Data!L681))</f>
        <v/>
      </c>
      <c r="M681" s="4">
        <f>PROPER(TRIM(Raw_Data!M681))</f>
        <v/>
      </c>
      <c r="N681" s="6">
        <f>ROUND(Raw_Data!N681,2)</f>
        <v/>
      </c>
      <c r="O681" s="7">
        <f>IF(COUNTIF($A$2:$A$1201,A681)&gt;1,"DUPLICATE","Unique")</f>
        <v/>
      </c>
      <c r="P681" s="7">
        <f>IF(COUNTIF($J$2:$J$1201,J681)&gt;1,"DUPLICATE","Unique")</f>
        <v/>
      </c>
      <c r="Q681" s="4">
        <f>IF(TRIM(Raw_Data!L681)="","Yes","No")</f>
        <v/>
      </c>
      <c r="R681" s="4">
        <f>IF(ISNUMBER(B681),"Valid","INVALID")</f>
        <v/>
      </c>
    </row>
    <row r="682">
      <c r="A682" s="4">
        <f>TRIM(Raw_Data!A682)</f>
        <v/>
      </c>
      <c r="B682" s="5">
        <f>Raw_Data!B682</f>
        <v/>
      </c>
      <c r="C682" s="4">
        <f>TRIM(Raw_Data!C682)</f>
        <v/>
      </c>
      <c r="D682" s="4">
        <f>PROPER(TRIM(Raw_Data!D682))</f>
        <v/>
      </c>
      <c r="E682" s="4">
        <f>Raw_Data!E682</f>
        <v/>
      </c>
      <c r="F682" s="6">
        <f>ROUND(Raw_Data!F682,2)</f>
        <v/>
      </c>
      <c r="G682" s="4">
        <f>PROPER(TRIM(Raw_Data!G682))</f>
        <v/>
      </c>
      <c r="H682" s="4">
        <f>PROPER(TRIM(Raw_Data!H682))</f>
        <v/>
      </c>
      <c r="I682" s="4">
        <f>PROPER(TRIM(Raw_Data!I682))</f>
        <v/>
      </c>
      <c r="J682" s="4">
        <f>TRIM(Raw_Data!J682)</f>
        <v/>
      </c>
      <c r="K682" s="4">
        <f>Raw_Data!K682</f>
        <v/>
      </c>
      <c r="L682" s="4">
        <f>IF(TRIM(Raw_Data!L682)="","No Coupon",TRIM(Raw_Data!L682))</f>
        <v/>
      </c>
      <c r="M682" s="4">
        <f>PROPER(TRIM(Raw_Data!M682))</f>
        <v/>
      </c>
      <c r="N682" s="6">
        <f>ROUND(Raw_Data!N682,2)</f>
        <v/>
      </c>
      <c r="O682" s="7">
        <f>IF(COUNTIF($A$2:$A$1201,A682)&gt;1,"DUPLICATE","Unique")</f>
        <v/>
      </c>
      <c r="P682" s="7">
        <f>IF(COUNTIF($J$2:$J$1201,J682)&gt;1,"DUPLICATE","Unique")</f>
        <v/>
      </c>
      <c r="Q682" s="4">
        <f>IF(TRIM(Raw_Data!L682)="","Yes","No")</f>
        <v/>
      </c>
      <c r="R682" s="4">
        <f>IF(ISNUMBER(B682),"Valid","INVALID")</f>
        <v/>
      </c>
    </row>
    <row r="683">
      <c r="A683" s="4">
        <f>TRIM(Raw_Data!A683)</f>
        <v/>
      </c>
      <c r="B683" s="5">
        <f>Raw_Data!B683</f>
        <v/>
      </c>
      <c r="C683" s="4">
        <f>TRIM(Raw_Data!C683)</f>
        <v/>
      </c>
      <c r="D683" s="4">
        <f>PROPER(TRIM(Raw_Data!D683))</f>
        <v/>
      </c>
      <c r="E683" s="4">
        <f>Raw_Data!E683</f>
        <v/>
      </c>
      <c r="F683" s="6">
        <f>ROUND(Raw_Data!F683,2)</f>
        <v/>
      </c>
      <c r="G683" s="4">
        <f>PROPER(TRIM(Raw_Data!G683))</f>
        <v/>
      </c>
      <c r="H683" s="4">
        <f>PROPER(TRIM(Raw_Data!H683))</f>
        <v/>
      </c>
      <c r="I683" s="4">
        <f>PROPER(TRIM(Raw_Data!I683))</f>
        <v/>
      </c>
      <c r="J683" s="4">
        <f>TRIM(Raw_Data!J683)</f>
        <v/>
      </c>
      <c r="K683" s="4">
        <f>Raw_Data!K683</f>
        <v/>
      </c>
      <c r="L683" s="4">
        <f>IF(TRIM(Raw_Data!L683)="","No Coupon",TRIM(Raw_Data!L683))</f>
        <v/>
      </c>
      <c r="M683" s="4">
        <f>PROPER(TRIM(Raw_Data!M683))</f>
        <v/>
      </c>
      <c r="N683" s="6">
        <f>ROUND(Raw_Data!N683,2)</f>
        <v/>
      </c>
      <c r="O683" s="7">
        <f>IF(COUNTIF($A$2:$A$1201,A683)&gt;1,"DUPLICATE","Unique")</f>
        <v/>
      </c>
      <c r="P683" s="7">
        <f>IF(COUNTIF($J$2:$J$1201,J683)&gt;1,"DUPLICATE","Unique")</f>
        <v/>
      </c>
      <c r="Q683" s="4">
        <f>IF(TRIM(Raw_Data!L683)="","Yes","No")</f>
        <v/>
      </c>
      <c r="R683" s="4">
        <f>IF(ISNUMBER(B683),"Valid","INVALID")</f>
        <v/>
      </c>
    </row>
    <row r="684">
      <c r="A684" s="4">
        <f>TRIM(Raw_Data!A684)</f>
        <v/>
      </c>
      <c r="B684" s="5">
        <f>Raw_Data!B684</f>
        <v/>
      </c>
      <c r="C684" s="4">
        <f>TRIM(Raw_Data!C684)</f>
        <v/>
      </c>
      <c r="D684" s="4">
        <f>PROPER(TRIM(Raw_Data!D684))</f>
        <v/>
      </c>
      <c r="E684" s="4">
        <f>Raw_Data!E684</f>
        <v/>
      </c>
      <c r="F684" s="6">
        <f>ROUND(Raw_Data!F684,2)</f>
        <v/>
      </c>
      <c r="G684" s="4">
        <f>PROPER(TRIM(Raw_Data!G684))</f>
        <v/>
      </c>
      <c r="H684" s="4">
        <f>PROPER(TRIM(Raw_Data!H684))</f>
        <v/>
      </c>
      <c r="I684" s="4">
        <f>PROPER(TRIM(Raw_Data!I684))</f>
        <v/>
      </c>
      <c r="J684" s="4">
        <f>TRIM(Raw_Data!J684)</f>
        <v/>
      </c>
      <c r="K684" s="4">
        <f>Raw_Data!K684</f>
        <v/>
      </c>
      <c r="L684" s="4">
        <f>IF(TRIM(Raw_Data!L684)="","No Coupon",TRIM(Raw_Data!L684))</f>
        <v/>
      </c>
      <c r="M684" s="4">
        <f>PROPER(TRIM(Raw_Data!M684))</f>
        <v/>
      </c>
      <c r="N684" s="6">
        <f>ROUND(Raw_Data!N684,2)</f>
        <v/>
      </c>
      <c r="O684" s="7">
        <f>IF(COUNTIF($A$2:$A$1201,A684)&gt;1,"DUPLICATE","Unique")</f>
        <v/>
      </c>
      <c r="P684" s="7">
        <f>IF(COUNTIF($J$2:$J$1201,J684)&gt;1,"DUPLICATE","Unique")</f>
        <v/>
      </c>
      <c r="Q684" s="4">
        <f>IF(TRIM(Raw_Data!L684)="","Yes","No")</f>
        <v/>
      </c>
      <c r="R684" s="4">
        <f>IF(ISNUMBER(B684),"Valid","INVALID")</f>
        <v/>
      </c>
    </row>
    <row r="685">
      <c r="A685" s="4">
        <f>TRIM(Raw_Data!A685)</f>
        <v/>
      </c>
      <c r="B685" s="5">
        <f>Raw_Data!B685</f>
        <v/>
      </c>
      <c r="C685" s="4">
        <f>TRIM(Raw_Data!C685)</f>
        <v/>
      </c>
      <c r="D685" s="4">
        <f>PROPER(TRIM(Raw_Data!D685))</f>
        <v/>
      </c>
      <c r="E685" s="4">
        <f>Raw_Data!E685</f>
        <v/>
      </c>
      <c r="F685" s="6">
        <f>ROUND(Raw_Data!F685,2)</f>
        <v/>
      </c>
      <c r="G685" s="4">
        <f>PROPER(TRIM(Raw_Data!G685))</f>
        <v/>
      </c>
      <c r="H685" s="4">
        <f>PROPER(TRIM(Raw_Data!H685))</f>
        <v/>
      </c>
      <c r="I685" s="4">
        <f>PROPER(TRIM(Raw_Data!I685))</f>
        <v/>
      </c>
      <c r="J685" s="4">
        <f>TRIM(Raw_Data!J685)</f>
        <v/>
      </c>
      <c r="K685" s="4">
        <f>Raw_Data!K685</f>
        <v/>
      </c>
      <c r="L685" s="4">
        <f>IF(TRIM(Raw_Data!L685)="","No Coupon",TRIM(Raw_Data!L685))</f>
        <v/>
      </c>
      <c r="M685" s="4">
        <f>PROPER(TRIM(Raw_Data!M685))</f>
        <v/>
      </c>
      <c r="N685" s="6">
        <f>ROUND(Raw_Data!N685,2)</f>
        <v/>
      </c>
      <c r="O685" s="7">
        <f>IF(COUNTIF($A$2:$A$1201,A685)&gt;1,"DUPLICATE","Unique")</f>
        <v/>
      </c>
      <c r="P685" s="7">
        <f>IF(COUNTIF($J$2:$J$1201,J685)&gt;1,"DUPLICATE","Unique")</f>
        <v/>
      </c>
      <c r="Q685" s="4">
        <f>IF(TRIM(Raw_Data!L685)="","Yes","No")</f>
        <v/>
      </c>
      <c r="R685" s="4">
        <f>IF(ISNUMBER(B685),"Valid","INVALID")</f>
        <v/>
      </c>
    </row>
    <row r="686">
      <c r="A686" s="4">
        <f>TRIM(Raw_Data!A686)</f>
        <v/>
      </c>
      <c r="B686" s="5">
        <f>Raw_Data!B686</f>
        <v/>
      </c>
      <c r="C686" s="4">
        <f>TRIM(Raw_Data!C686)</f>
        <v/>
      </c>
      <c r="D686" s="4">
        <f>PROPER(TRIM(Raw_Data!D686))</f>
        <v/>
      </c>
      <c r="E686" s="4">
        <f>Raw_Data!E686</f>
        <v/>
      </c>
      <c r="F686" s="6">
        <f>ROUND(Raw_Data!F686,2)</f>
        <v/>
      </c>
      <c r="G686" s="4">
        <f>PROPER(TRIM(Raw_Data!G686))</f>
        <v/>
      </c>
      <c r="H686" s="4">
        <f>PROPER(TRIM(Raw_Data!H686))</f>
        <v/>
      </c>
      <c r="I686" s="4">
        <f>PROPER(TRIM(Raw_Data!I686))</f>
        <v/>
      </c>
      <c r="J686" s="4">
        <f>TRIM(Raw_Data!J686)</f>
        <v/>
      </c>
      <c r="K686" s="4">
        <f>Raw_Data!K686</f>
        <v/>
      </c>
      <c r="L686" s="4">
        <f>IF(TRIM(Raw_Data!L686)="","No Coupon",TRIM(Raw_Data!L686))</f>
        <v/>
      </c>
      <c r="M686" s="4">
        <f>PROPER(TRIM(Raw_Data!M686))</f>
        <v/>
      </c>
      <c r="N686" s="6">
        <f>ROUND(Raw_Data!N686,2)</f>
        <v/>
      </c>
      <c r="O686" s="7">
        <f>IF(COUNTIF($A$2:$A$1201,A686)&gt;1,"DUPLICATE","Unique")</f>
        <v/>
      </c>
      <c r="P686" s="7">
        <f>IF(COUNTIF($J$2:$J$1201,J686)&gt;1,"DUPLICATE","Unique")</f>
        <v/>
      </c>
      <c r="Q686" s="4">
        <f>IF(TRIM(Raw_Data!L686)="","Yes","No")</f>
        <v/>
      </c>
      <c r="R686" s="4">
        <f>IF(ISNUMBER(B686),"Valid","INVALID")</f>
        <v/>
      </c>
    </row>
    <row r="687">
      <c r="A687" s="4">
        <f>TRIM(Raw_Data!A687)</f>
        <v/>
      </c>
      <c r="B687" s="5">
        <f>Raw_Data!B687</f>
        <v/>
      </c>
      <c r="C687" s="4">
        <f>TRIM(Raw_Data!C687)</f>
        <v/>
      </c>
      <c r="D687" s="4">
        <f>PROPER(TRIM(Raw_Data!D687))</f>
        <v/>
      </c>
      <c r="E687" s="4">
        <f>Raw_Data!E687</f>
        <v/>
      </c>
      <c r="F687" s="6">
        <f>ROUND(Raw_Data!F687,2)</f>
        <v/>
      </c>
      <c r="G687" s="4">
        <f>PROPER(TRIM(Raw_Data!G687))</f>
        <v/>
      </c>
      <c r="H687" s="4">
        <f>PROPER(TRIM(Raw_Data!H687))</f>
        <v/>
      </c>
      <c r="I687" s="4">
        <f>PROPER(TRIM(Raw_Data!I687))</f>
        <v/>
      </c>
      <c r="J687" s="4">
        <f>TRIM(Raw_Data!J687)</f>
        <v/>
      </c>
      <c r="K687" s="4">
        <f>Raw_Data!K687</f>
        <v/>
      </c>
      <c r="L687" s="4">
        <f>IF(TRIM(Raw_Data!L687)="","No Coupon",TRIM(Raw_Data!L687))</f>
        <v/>
      </c>
      <c r="M687" s="4">
        <f>PROPER(TRIM(Raw_Data!M687))</f>
        <v/>
      </c>
      <c r="N687" s="6">
        <f>ROUND(Raw_Data!N687,2)</f>
        <v/>
      </c>
      <c r="O687" s="7">
        <f>IF(COUNTIF($A$2:$A$1201,A687)&gt;1,"DUPLICATE","Unique")</f>
        <v/>
      </c>
      <c r="P687" s="7">
        <f>IF(COUNTIF($J$2:$J$1201,J687)&gt;1,"DUPLICATE","Unique")</f>
        <v/>
      </c>
      <c r="Q687" s="4">
        <f>IF(TRIM(Raw_Data!L687)="","Yes","No")</f>
        <v/>
      </c>
      <c r="R687" s="4">
        <f>IF(ISNUMBER(B687),"Valid","INVALID")</f>
        <v/>
      </c>
    </row>
    <row r="688">
      <c r="A688" s="4">
        <f>TRIM(Raw_Data!A688)</f>
        <v/>
      </c>
      <c r="B688" s="5">
        <f>Raw_Data!B688</f>
        <v/>
      </c>
      <c r="C688" s="4">
        <f>TRIM(Raw_Data!C688)</f>
        <v/>
      </c>
      <c r="D688" s="4">
        <f>PROPER(TRIM(Raw_Data!D688))</f>
        <v/>
      </c>
      <c r="E688" s="4">
        <f>Raw_Data!E688</f>
        <v/>
      </c>
      <c r="F688" s="6">
        <f>ROUND(Raw_Data!F688,2)</f>
        <v/>
      </c>
      <c r="G688" s="4">
        <f>PROPER(TRIM(Raw_Data!G688))</f>
        <v/>
      </c>
      <c r="H688" s="4">
        <f>PROPER(TRIM(Raw_Data!H688))</f>
        <v/>
      </c>
      <c r="I688" s="4">
        <f>PROPER(TRIM(Raw_Data!I688))</f>
        <v/>
      </c>
      <c r="J688" s="4">
        <f>TRIM(Raw_Data!J688)</f>
        <v/>
      </c>
      <c r="K688" s="4">
        <f>Raw_Data!K688</f>
        <v/>
      </c>
      <c r="L688" s="4">
        <f>IF(TRIM(Raw_Data!L688)="","No Coupon",TRIM(Raw_Data!L688))</f>
        <v/>
      </c>
      <c r="M688" s="4">
        <f>PROPER(TRIM(Raw_Data!M688))</f>
        <v/>
      </c>
      <c r="N688" s="6">
        <f>ROUND(Raw_Data!N688,2)</f>
        <v/>
      </c>
      <c r="O688" s="7">
        <f>IF(COUNTIF($A$2:$A$1201,A688)&gt;1,"DUPLICATE","Unique")</f>
        <v/>
      </c>
      <c r="P688" s="7">
        <f>IF(COUNTIF($J$2:$J$1201,J688)&gt;1,"DUPLICATE","Unique")</f>
        <v/>
      </c>
      <c r="Q688" s="4">
        <f>IF(TRIM(Raw_Data!L688)="","Yes","No")</f>
        <v/>
      </c>
      <c r="R688" s="4">
        <f>IF(ISNUMBER(B688),"Valid","INVALID")</f>
        <v/>
      </c>
    </row>
    <row r="689">
      <c r="A689" s="4">
        <f>TRIM(Raw_Data!A689)</f>
        <v/>
      </c>
      <c r="B689" s="5">
        <f>Raw_Data!B689</f>
        <v/>
      </c>
      <c r="C689" s="4">
        <f>TRIM(Raw_Data!C689)</f>
        <v/>
      </c>
      <c r="D689" s="4">
        <f>PROPER(TRIM(Raw_Data!D689))</f>
        <v/>
      </c>
      <c r="E689" s="4">
        <f>Raw_Data!E689</f>
        <v/>
      </c>
      <c r="F689" s="6">
        <f>ROUND(Raw_Data!F689,2)</f>
        <v/>
      </c>
      <c r="G689" s="4">
        <f>PROPER(TRIM(Raw_Data!G689))</f>
        <v/>
      </c>
      <c r="H689" s="4">
        <f>PROPER(TRIM(Raw_Data!H689))</f>
        <v/>
      </c>
      <c r="I689" s="4">
        <f>PROPER(TRIM(Raw_Data!I689))</f>
        <v/>
      </c>
      <c r="J689" s="4">
        <f>TRIM(Raw_Data!J689)</f>
        <v/>
      </c>
      <c r="K689" s="4">
        <f>Raw_Data!K689</f>
        <v/>
      </c>
      <c r="L689" s="4">
        <f>IF(TRIM(Raw_Data!L689)="","No Coupon",TRIM(Raw_Data!L689))</f>
        <v/>
      </c>
      <c r="M689" s="4">
        <f>PROPER(TRIM(Raw_Data!M689))</f>
        <v/>
      </c>
      <c r="N689" s="6">
        <f>ROUND(Raw_Data!N689,2)</f>
        <v/>
      </c>
      <c r="O689" s="7">
        <f>IF(COUNTIF($A$2:$A$1201,A689)&gt;1,"DUPLICATE","Unique")</f>
        <v/>
      </c>
      <c r="P689" s="7">
        <f>IF(COUNTIF($J$2:$J$1201,J689)&gt;1,"DUPLICATE","Unique")</f>
        <v/>
      </c>
      <c r="Q689" s="4">
        <f>IF(TRIM(Raw_Data!L689)="","Yes","No")</f>
        <v/>
      </c>
      <c r="R689" s="4">
        <f>IF(ISNUMBER(B689),"Valid","INVALID")</f>
        <v/>
      </c>
    </row>
    <row r="690">
      <c r="A690" s="4">
        <f>TRIM(Raw_Data!A690)</f>
        <v/>
      </c>
      <c r="B690" s="5">
        <f>Raw_Data!B690</f>
        <v/>
      </c>
      <c r="C690" s="4">
        <f>TRIM(Raw_Data!C690)</f>
        <v/>
      </c>
      <c r="D690" s="4">
        <f>PROPER(TRIM(Raw_Data!D690))</f>
        <v/>
      </c>
      <c r="E690" s="4">
        <f>Raw_Data!E690</f>
        <v/>
      </c>
      <c r="F690" s="6">
        <f>ROUND(Raw_Data!F690,2)</f>
        <v/>
      </c>
      <c r="G690" s="4">
        <f>PROPER(TRIM(Raw_Data!G690))</f>
        <v/>
      </c>
      <c r="H690" s="4">
        <f>PROPER(TRIM(Raw_Data!H690))</f>
        <v/>
      </c>
      <c r="I690" s="4">
        <f>PROPER(TRIM(Raw_Data!I690))</f>
        <v/>
      </c>
      <c r="J690" s="4">
        <f>TRIM(Raw_Data!J690)</f>
        <v/>
      </c>
      <c r="K690" s="4">
        <f>Raw_Data!K690</f>
        <v/>
      </c>
      <c r="L690" s="4">
        <f>IF(TRIM(Raw_Data!L690)="","No Coupon",TRIM(Raw_Data!L690))</f>
        <v/>
      </c>
      <c r="M690" s="4">
        <f>PROPER(TRIM(Raw_Data!M690))</f>
        <v/>
      </c>
      <c r="N690" s="6">
        <f>ROUND(Raw_Data!N690,2)</f>
        <v/>
      </c>
      <c r="O690" s="7">
        <f>IF(COUNTIF($A$2:$A$1201,A690)&gt;1,"DUPLICATE","Unique")</f>
        <v/>
      </c>
      <c r="P690" s="7">
        <f>IF(COUNTIF($J$2:$J$1201,J690)&gt;1,"DUPLICATE","Unique")</f>
        <v/>
      </c>
      <c r="Q690" s="4">
        <f>IF(TRIM(Raw_Data!L690)="","Yes","No")</f>
        <v/>
      </c>
      <c r="R690" s="4">
        <f>IF(ISNUMBER(B690),"Valid","INVALID")</f>
        <v/>
      </c>
    </row>
    <row r="691">
      <c r="A691" s="4">
        <f>TRIM(Raw_Data!A691)</f>
        <v/>
      </c>
      <c r="B691" s="5">
        <f>Raw_Data!B691</f>
        <v/>
      </c>
      <c r="C691" s="4">
        <f>TRIM(Raw_Data!C691)</f>
        <v/>
      </c>
      <c r="D691" s="4">
        <f>PROPER(TRIM(Raw_Data!D691))</f>
        <v/>
      </c>
      <c r="E691" s="4">
        <f>Raw_Data!E691</f>
        <v/>
      </c>
      <c r="F691" s="6">
        <f>ROUND(Raw_Data!F691,2)</f>
        <v/>
      </c>
      <c r="G691" s="4">
        <f>PROPER(TRIM(Raw_Data!G691))</f>
        <v/>
      </c>
      <c r="H691" s="4">
        <f>PROPER(TRIM(Raw_Data!H691))</f>
        <v/>
      </c>
      <c r="I691" s="4">
        <f>PROPER(TRIM(Raw_Data!I691))</f>
        <v/>
      </c>
      <c r="J691" s="4">
        <f>TRIM(Raw_Data!J691)</f>
        <v/>
      </c>
      <c r="K691" s="4">
        <f>Raw_Data!K691</f>
        <v/>
      </c>
      <c r="L691" s="4">
        <f>IF(TRIM(Raw_Data!L691)="","No Coupon",TRIM(Raw_Data!L691))</f>
        <v/>
      </c>
      <c r="M691" s="4">
        <f>PROPER(TRIM(Raw_Data!M691))</f>
        <v/>
      </c>
      <c r="N691" s="6">
        <f>ROUND(Raw_Data!N691,2)</f>
        <v/>
      </c>
      <c r="O691" s="7">
        <f>IF(COUNTIF($A$2:$A$1201,A691)&gt;1,"DUPLICATE","Unique")</f>
        <v/>
      </c>
      <c r="P691" s="7">
        <f>IF(COUNTIF($J$2:$J$1201,J691)&gt;1,"DUPLICATE","Unique")</f>
        <v/>
      </c>
      <c r="Q691" s="4">
        <f>IF(TRIM(Raw_Data!L691)="","Yes","No")</f>
        <v/>
      </c>
      <c r="R691" s="4">
        <f>IF(ISNUMBER(B691),"Valid","INVALID")</f>
        <v/>
      </c>
    </row>
    <row r="692">
      <c r="A692" s="4">
        <f>TRIM(Raw_Data!A692)</f>
        <v/>
      </c>
      <c r="B692" s="5">
        <f>Raw_Data!B692</f>
        <v/>
      </c>
      <c r="C692" s="4">
        <f>TRIM(Raw_Data!C692)</f>
        <v/>
      </c>
      <c r="D692" s="4">
        <f>PROPER(TRIM(Raw_Data!D692))</f>
        <v/>
      </c>
      <c r="E692" s="4">
        <f>Raw_Data!E692</f>
        <v/>
      </c>
      <c r="F692" s="6">
        <f>ROUND(Raw_Data!F692,2)</f>
        <v/>
      </c>
      <c r="G692" s="4">
        <f>PROPER(TRIM(Raw_Data!G692))</f>
        <v/>
      </c>
      <c r="H692" s="4">
        <f>PROPER(TRIM(Raw_Data!H692))</f>
        <v/>
      </c>
      <c r="I692" s="4">
        <f>PROPER(TRIM(Raw_Data!I692))</f>
        <v/>
      </c>
      <c r="J692" s="4">
        <f>TRIM(Raw_Data!J692)</f>
        <v/>
      </c>
      <c r="K692" s="4">
        <f>Raw_Data!K692</f>
        <v/>
      </c>
      <c r="L692" s="4">
        <f>IF(TRIM(Raw_Data!L692)="","No Coupon",TRIM(Raw_Data!L692))</f>
        <v/>
      </c>
      <c r="M692" s="4">
        <f>PROPER(TRIM(Raw_Data!M692))</f>
        <v/>
      </c>
      <c r="N692" s="6">
        <f>ROUND(Raw_Data!N692,2)</f>
        <v/>
      </c>
      <c r="O692" s="7">
        <f>IF(COUNTIF($A$2:$A$1201,A692)&gt;1,"DUPLICATE","Unique")</f>
        <v/>
      </c>
      <c r="P692" s="7">
        <f>IF(COUNTIF($J$2:$J$1201,J692)&gt;1,"DUPLICATE","Unique")</f>
        <v/>
      </c>
      <c r="Q692" s="4">
        <f>IF(TRIM(Raw_Data!L692)="","Yes","No")</f>
        <v/>
      </c>
      <c r="R692" s="4">
        <f>IF(ISNUMBER(B692),"Valid","INVALID")</f>
        <v/>
      </c>
    </row>
    <row r="693">
      <c r="A693" s="4">
        <f>TRIM(Raw_Data!A693)</f>
        <v/>
      </c>
      <c r="B693" s="5">
        <f>Raw_Data!B693</f>
        <v/>
      </c>
      <c r="C693" s="4">
        <f>TRIM(Raw_Data!C693)</f>
        <v/>
      </c>
      <c r="D693" s="4">
        <f>PROPER(TRIM(Raw_Data!D693))</f>
        <v/>
      </c>
      <c r="E693" s="4">
        <f>Raw_Data!E693</f>
        <v/>
      </c>
      <c r="F693" s="6">
        <f>ROUND(Raw_Data!F693,2)</f>
        <v/>
      </c>
      <c r="G693" s="4">
        <f>PROPER(TRIM(Raw_Data!G693))</f>
        <v/>
      </c>
      <c r="H693" s="4">
        <f>PROPER(TRIM(Raw_Data!H693))</f>
        <v/>
      </c>
      <c r="I693" s="4">
        <f>PROPER(TRIM(Raw_Data!I693))</f>
        <v/>
      </c>
      <c r="J693" s="4">
        <f>TRIM(Raw_Data!J693)</f>
        <v/>
      </c>
      <c r="K693" s="4">
        <f>Raw_Data!K693</f>
        <v/>
      </c>
      <c r="L693" s="4">
        <f>IF(TRIM(Raw_Data!L693)="","No Coupon",TRIM(Raw_Data!L693))</f>
        <v/>
      </c>
      <c r="M693" s="4">
        <f>PROPER(TRIM(Raw_Data!M693))</f>
        <v/>
      </c>
      <c r="N693" s="6">
        <f>ROUND(Raw_Data!N693,2)</f>
        <v/>
      </c>
      <c r="O693" s="7">
        <f>IF(COUNTIF($A$2:$A$1201,A693)&gt;1,"DUPLICATE","Unique")</f>
        <v/>
      </c>
      <c r="P693" s="7">
        <f>IF(COUNTIF($J$2:$J$1201,J693)&gt;1,"DUPLICATE","Unique")</f>
        <v/>
      </c>
      <c r="Q693" s="4">
        <f>IF(TRIM(Raw_Data!L693)="","Yes","No")</f>
        <v/>
      </c>
      <c r="R693" s="4">
        <f>IF(ISNUMBER(B693),"Valid","INVALID")</f>
        <v/>
      </c>
    </row>
    <row r="694">
      <c r="A694" s="4">
        <f>TRIM(Raw_Data!A694)</f>
        <v/>
      </c>
      <c r="B694" s="5">
        <f>Raw_Data!B694</f>
        <v/>
      </c>
      <c r="C694" s="4">
        <f>TRIM(Raw_Data!C694)</f>
        <v/>
      </c>
      <c r="D694" s="4">
        <f>PROPER(TRIM(Raw_Data!D694))</f>
        <v/>
      </c>
      <c r="E694" s="4">
        <f>Raw_Data!E694</f>
        <v/>
      </c>
      <c r="F694" s="6">
        <f>ROUND(Raw_Data!F694,2)</f>
        <v/>
      </c>
      <c r="G694" s="4">
        <f>PROPER(TRIM(Raw_Data!G694))</f>
        <v/>
      </c>
      <c r="H694" s="4">
        <f>PROPER(TRIM(Raw_Data!H694))</f>
        <v/>
      </c>
      <c r="I694" s="4">
        <f>PROPER(TRIM(Raw_Data!I694))</f>
        <v/>
      </c>
      <c r="J694" s="4">
        <f>TRIM(Raw_Data!J694)</f>
        <v/>
      </c>
      <c r="K694" s="4">
        <f>Raw_Data!K694</f>
        <v/>
      </c>
      <c r="L694" s="4">
        <f>IF(TRIM(Raw_Data!L694)="","No Coupon",TRIM(Raw_Data!L694))</f>
        <v/>
      </c>
      <c r="M694" s="4">
        <f>PROPER(TRIM(Raw_Data!M694))</f>
        <v/>
      </c>
      <c r="N694" s="6">
        <f>ROUND(Raw_Data!N694,2)</f>
        <v/>
      </c>
      <c r="O694" s="7">
        <f>IF(COUNTIF($A$2:$A$1201,A694)&gt;1,"DUPLICATE","Unique")</f>
        <v/>
      </c>
      <c r="P694" s="7">
        <f>IF(COUNTIF($J$2:$J$1201,J694)&gt;1,"DUPLICATE","Unique")</f>
        <v/>
      </c>
      <c r="Q694" s="4">
        <f>IF(TRIM(Raw_Data!L694)="","Yes","No")</f>
        <v/>
      </c>
      <c r="R694" s="4">
        <f>IF(ISNUMBER(B694),"Valid","INVALID")</f>
        <v/>
      </c>
    </row>
    <row r="695">
      <c r="A695" s="4">
        <f>TRIM(Raw_Data!A695)</f>
        <v/>
      </c>
      <c r="B695" s="5">
        <f>Raw_Data!B695</f>
        <v/>
      </c>
      <c r="C695" s="4">
        <f>TRIM(Raw_Data!C695)</f>
        <v/>
      </c>
      <c r="D695" s="4">
        <f>PROPER(TRIM(Raw_Data!D695))</f>
        <v/>
      </c>
      <c r="E695" s="4">
        <f>Raw_Data!E695</f>
        <v/>
      </c>
      <c r="F695" s="6">
        <f>ROUND(Raw_Data!F695,2)</f>
        <v/>
      </c>
      <c r="G695" s="4">
        <f>PROPER(TRIM(Raw_Data!G695))</f>
        <v/>
      </c>
      <c r="H695" s="4">
        <f>PROPER(TRIM(Raw_Data!H695))</f>
        <v/>
      </c>
      <c r="I695" s="4">
        <f>PROPER(TRIM(Raw_Data!I695))</f>
        <v/>
      </c>
      <c r="J695" s="4">
        <f>TRIM(Raw_Data!J695)</f>
        <v/>
      </c>
      <c r="K695" s="4">
        <f>Raw_Data!K695</f>
        <v/>
      </c>
      <c r="L695" s="4">
        <f>IF(TRIM(Raw_Data!L695)="","No Coupon",TRIM(Raw_Data!L695))</f>
        <v/>
      </c>
      <c r="M695" s="4">
        <f>PROPER(TRIM(Raw_Data!M695))</f>
        <v/>
      </c>
      <c r="N695" s="6">
        <f>ROUND(Raw_Data!N695,2)</f>
        <v/>
      </c>
      <c r="O695" s="7">
        <f>IF(COUNTIF($A$2:$A$1201,A695)&gt;1,"DUPLICATE","Unique")</f>
        <v/>
      </c>
      <c r="P695" s="7">
        <f>IF(COUNTIF($J$2:$J$1201,J695)&gt;1,"DUPLICATE","Unique")</f>
        <v/>
      </c>
      <c r="Q695" s="4">
        <f>IF(TRIM(Raw_Data!L695)="","Yes","No")</f>
        <v/>
      </c>
      <c r="R695" s="4">
        <f>IF(ISNUMBER(B695),"Valid","INVALID")</f>
        <v/>
      </c>
    </row>
    <row r="696">
      <c r="A696" s="4">
        <f>TRIM(Raw_Data!A696)</f>
        <v/>
      </c>
      <c r="B696" s="5">
        <f>Raw_Data!B696</f>
        <v/>
      </c>
      <c r="C696" s="4">
        <f>TRIM(Raw_Data!C696)</f>
        <v/>
      </c>
      <c r="D696" s="4">
        <f>PROPER(TRIM(Raw_Data!D696))</f>
        <v/>
      </c>
      <c r="E696" s="4">
        <f>Raw_Data!E696</f>
        <v/>
      </c>
      <c r="F696" s="6">
        <f>ROUND(Raw_Data!F696,2)</f>
        <v/>
      </c>
      <c r="G696" s="4">
        <f>PROPER(TRIM(Raw_Data!G696))</f>
        <v/>
      </c>
      <c r="H696" s="4">
        <f>PROPER(TRIM(Raw_Data!H696))</f>
        <v/>
      </c>
      <c r="I696" s="4">
        <f>PROPER(TRIM(Raw_Data!I696))</f>
        <v/>
      </c>
      <c r="J696" s="4">
        <f>TRIM(Raw_Data!J696)</f>
        <v/>
      </c>
      <c r="K696" s="4">
        <f>Raw_Data!K696</f>
        <v/>
      </c>
      <c r="L696" s="4">
        <f>IF(TRIM(Raw_Data!L696)="","No Coupon",TRIM(Raw_Data!L696))</f>
        <v/>
      </c>
      <c r="M696" s="4">
        <f>PROPER(TRIM(Raw_Data!M696))</f>
        <v/>
      </c>
      <c r="N696" s="6">
        <f>ROUND(Raw_Data!N696,2)</f>
        <v/>
      </c>
      <c r="O696" s="7">
        <f>IF(COUNTIF($A$2:$A$1201,A696)&gt;1,"DUPLICATE","Unique")</f>
        <v/>
      </c>
      <c r="P696" s="7">
        <f>IF(COUNTIF($J$2:$J$1201,J696)&gt;1,"DUPLICATE","Unique")</f>
        <v/>
      </c>
      <c r="Q696" s="4">
        <f>IF(TRIM(Raw_Data!L696)="","Yes","No")</f>
        <v/>
      </c>
      <c r="R696" s="4">
        <f>IF(ISNUMBER(B696),"Valid","INVALID")</f>
        <v/>
      </c>
    </row>
    <row r="697">
      <c r="A697" s="4">
        <f>TRIM(Raw_Data!A697)</f>
        <v/>
      </c>
      <c r="B697" s="5">
        <f>Raw_Data!B697</f>
        <v/>
      </c>
      <c r="C697" s="4">
        <f>TRIM(Raw_Data!C697)</f>
        <v/>
      </c>
      <c r="D697" s="4">
        <f>PROPER(TRIM(Raw_Data!D697))</f>
        <v/>
      </c>
      <c r="E697" s="4">
        <f>Raw_Data!E697</f>
        <v/>
      </c>
      <c r="F697" s="6">
        <f>ROUND(Raw_Data!F697,2)</f>
        <v/>
      </c>
      <c r="G697" s="4">
        <f>PROPER(TRIM(Raw_Data!G697))</f>
        <v/>
      </c>
      <c r="H697" s="4">
        <f>PROPER(TRIM(Raw_Data!H697))</f>
        <v/>
      </c>
      <c r="I697" s="4">
        <f>PROPER(TRIM(Raw_Data!I697))</f>
        <v/>
      </c>
      <c r="J697" s="4">
        <f>TRIM(Raw_Data!J697)</f>
        <v/>
      </c>
      <c r="K697" s="4">
        <f>Raw_Data!K697</f>
        <v/>
      </c>
      <c r="L697" s="4">
        <f>IF(TRIM(Raw_Data!L697)="","No Coupon",TRIM(Raw_Data!L697))</f>
        <v/>
      </c>
      <c r="M697" s="4">
        <f>PROPER(TRIM(Raw_Data!M697))</f>
        <v/>
      </c>
      <c r="N697" s="6">
        <f>ROUND(Raw_Data!N697,2)</f>
        <v/>
      </c>
      <c r="O697" s="7">
        <f>IF(COUNTIF($A$2:$A$1201,A697)&gt;1,"DUPLICATE","Unique")</f>
        <v/>
      </c>
      <c r="P697" s="7">
        <f>IF(COUNTIF($J$2:$J$1201,J697)&gt;1,"DUPLICATE","Unique")</f>
        <v/>
      </c>
      <c r="Q697" s="4">
        <f>IF(TRIM(Raw_Data!L697)="","Yes","No")</f>
        <v/>
      </c>
      <c r="R697" s="4">
        <f>IF(ISNUMBER(B697),"Valid","INVALID")</f>
        <v/>
      </c>
    </row>
    <row r="698">
      <c r="A698" s="4">
        <f>TRIM(Raw_Data!A698)</f>
        <v/>
      </c>
      <c r="B698" s="5">
        <f>Raw_Data!B698</f>
        <v/>
      </c>
      <c r="C698" s="4">
        <f>TRIM(Raw_Data!C698)</f>
        <v/>
      </c>
      <c r="D698" s="4">
        <f>PROPER(TRIM(Raw_Data!D698))</f>
        <v/>
      </c>
      <c r="E698" s="4">
        <f>Raw_Data!E698</f>
        <v/>
      </c>
      <c r="F698" s="6">
        <f>ROUND(Raw_Data!F698,2)</f>
        <v/>
      </c>
      <c r="G698" s="4">
        <f>PROPER(TRIM(Raw_Data!G698))</f>
        <v/>
      </c>
      <c r="H698" s="4">
        <f>PROPER(TRIM(Raw_Data!H698))</f>
        <v/>
      </c>
      <c r="I698" s="4">
        <f>PROPER(TRIM(Raw_Data!I698))</f>
        <v/>
      </c>
      <c r="J698" s="4">
        <f>TRIM(Raw_Data!J698)</f>
        <v/>
      </c>
      <c r="K698" s="4">
        <f>Raw_Data!K698</f>
        <v/>
      </c>
      <c r="L698" s="4">
        <f>IF(TRIM(Raw_Data!L698)="","No Coupon",TRIM(Raw_Data!L698))</f>
        <v/>
      </c>
      <c r="M698" s="4">
        <f>PROPER(TRIM(Raw_Data!M698))</f>
        <v/>
      </c>
      <c r="N698" s="6">
        <f>ROUND(Raw_Data!N698,2)</f>
        <v/>
      </c>
      <c r="O698" s="7">
        <f>IF(COUNTIF($A$2:$A$1201,A698)&gt;1,"DUPLICATE","Unique")</f>
        <v/>
      </c>
      <c r="P698" s="7">
        <f>IF(COUNTIF($J$2:$J$1201,J698)&gt;1,"DUPLICATE","Unique")</f>
        <v/>
      </c>
      <c r="Q698" s="4">
        <f>IF(TRIM(Raw_Data!L698)="","Yes","No")</f>
        <v/>
      </c>
      <c r="R698" s="4">
        <f>IF(ISNUMBER(B698),"Valid","INVALID")</f>
        <v/>
      </c>
    </row>
    <row r="699">
      <c r="A699" s="4">
        <f>TRIM(Raw_Data!A699)</f>
        <v/>
      </c>
      <c r="B699" s="5">
        <f>Raw_Data!B699</f>
        <v/>
      </c>
      <c r="C699" s="4">
        <f>TRIM(Raw_Data!C699)</f>
        <v/>
      </c>
      <c r="D699" s="4">
        <f>PROPER(TRIM(Raw_Data!D699))</f>
        <v/>
      </c>
      <c r="E699" s="4">
        <f>Raw_Data!E699</f>
        <v/>
      </c>
      <c r="F699" s="6">
        <f>ROUND(Raw_Data!F699,2)</f>
        <v/>
      </c>
      <c r="G699" s="4">
        <f>PROPER(TRIM(Raw_Data!G699))</f>
        <v/>
      </c>
      <c r="H699" s="4">
        <f>PROPER(TRIM(Raw_Data!H699))</f>
        <v/>
      </c>
      <c r="I699" s="4">
        <f>PROPER(TRIM(Raw_Data!I699))</f>
        <v/>
      </c>
      <c r="J699" s="4">
        <f>TRIM(Raw_Data!J699)</f>
        <v/>
      </c>
      <c r="K699" s="4">
        <f>Raw_Data!K699</f>
        <v/>
      </c>
      <c r="L699" s="4">
        <f>IF(TRIM(Raw_Data!L699)="","No Coupon",TRIM(Raw_Data!L699))</f>
        <v/>
      </c>
      <c r="M699" s="4">
        <f>PROPER(TRIM(Raw_Data!M699))</f>
        <v/>
      </c>
      <c r="N699" s="6">
        <f>ROUND(Raw_Data!N699,2)</f>
        <v/>
      </c>
      <c r="O699" s="7">
        <f>IF(COUNTIF($A$2:$A$1201,A699)&gt;1,"DUPLICATE","Unique")</f>
        <v/>
      </c>
      <c r="P699" s="7">
        <f>IF(COUNTIF($J$2:$J$1201,J699)&gt;1,"DUPLICATE","Unique")</f>
        <v/>
      </c>
      <c r="Q699" s="4">
        <f>IF(TRIM(Raw_Data!L699)="","Yes","No")</f>
        <v/>
      </c>
      <c r="R699" s="4">
        <f>IF(ISNUMBER(B699),"Valid","INVALID")</f>
        <v/>
      </c>
    </row>
    <row r="700">
      <c r="A700" s="4">
        <f>TRIM(Raw_Data!A700)</f>
        <v/>
      </c>
      <c r="B700" s="5">
        <f>Raw_Data!B700</f>
        <v/>
      </c>
      <c r="C700" s="4">
        <f>TRIM(Raw_Data!C700)</f>
        <v/>
      </c>
      <c r="D700" s="4">
        <f>PROPER(TRIM(Raw_Data!D700))</f>
        <v/>
      </c>
      <c r="E700" s="4">
        <f>Raw_Data!E700</f>
        <v/>
      </c>
      <c r="F700" s="6">
        <f>ROUND(Raw_Data!F700,2)</f>
        <v/>
      </c>
      <c r="G700" s="4">
        <f>PROPER(TRIM(Raw_Data!G700))</f>
        <v/>
      </c>
      <c r="H700" s="4">
        <f>PROPER(TRIM(Raw_Data!H700))</f>
        <v/>
      </c>
      <c r="I700" s="4">
        <f>PROPER(TRIM(Raw_Data!I700))</f>
        <v/>
      </c>
      <c r="J700" s="4">
        <f>TRIM(Raw_Data!J700)</f>
        <v/>
      </c>
      <c r="K700" s="4">
        <f>Raw_Data!K700</f>
        <v/>
      </c>
      <c r="L700" s="4">
        <f>IF(TRIM(Raw_Data!L700)="","No Coupon",TRIM(Raw_Data!L700))</f>
        <v/>
      </c>
      <c r="M700" s="4">
        <f>PROPER(TRIM(Raw_Data!M700))</f>
        <v/>
      </c>
      <c r="N700" s="6">
        <f>ROUND(Raw_Data!N700,2)</f>
        <v/>
      </c>
      <c r="O700" s="7">
        <f>IF(COUNTIF($A$2:$A$1201,A700)&gt;1,"DUPLICATE","Unique")</f>
        <v/>
      </c>
      <c r="P700" s="7">
        <f>IF(COUNTIF($J$2:$J$1201,J700)&gt;1,"DUPLICATE","Unique")</f>
        <v/>
      </c>
      <c r="Q700" s="4">
        <f>IF(TRIM(Raw_Data!L700)="","Yes","No")</f>
        <v/>
      </c>
      <c r="R700" s="4">
        <f>IF(ISNUMBER(B700),"Valid","INVALID")</f>
        <v/>
      </c>
    </row>
    <row r="701">
      <c r="A701" s="4">
        <f>TRIM(Raw_Data!A701)</f>
        <v/>
      </c>
      <c r="B701" s="5">
        <f>Raw_Data!B701</f>
        <v/>
      </c>
      <c r="C701" s="4">
        <f>TRIM(Raw_Data!C701)</f>
        <v/>
      </c>
      <c r="D701" s="4">
        <f>PROPER(TRIM(Raw_Data!D701))</f>
        <v/>
      </c>
      <c r="E701" s="4">
        <f>Raw_Data!E701</f>
        <v/>
      </c>
      <c r="F701" s="6">
        <f>ROUND(Raw_Data!F701,2)</f>
        <v/>
      </c>
      <c r="G701" s="4">
        <f>PROPER(TRIM(Raw_Data!G701))</f>
        <v/>
      </c>
      <c r="H701" s="4">
        <f>PROPER(TRIM(Raw_Data!H701))</f>
        <v/>
      </c>
      <c r="I701" s="4">
        <f>PROPER(TRIM(Raw_Data!I701))</f>
        <v/>
      </c>
      <c r="J701" s="4">
        <f>TRIM(Raw_Data!J701)</f>
        <v/>
      </c>
      <c r="K701" s="4">
        <f>Raw_Data!K701</f>
        <v/>
      </c>
      <c r="L701" s="4">
        <f>IF(TRIM(Raw_Data!L701)="","No Coupon",TRIM(Raw_Data!L701))</f>
        <v/>
      </c>
      <c r="M701" s="4">
        <f>PROPER(TRIM(Raw_Data!M701))</f>
        <v/>
      </c>
      <c r="N701" s="6">
        <f>ROUND(Raw_Data!N701,2)</f>
        <v/>
      </c>
      <c r="O701" s="7">
        <f>IF(COUNTIF($A$2:$A$1201,A701)&gt;1,"DUPLICATE","Unique")</f>
        <v/>
      </c>
      <c r="P701" s="7">
        <f>IF(COUNTIF($J$2:$J$1201,J701)&gt;1,"DUPLICATE","Unique")</f>
        <v/>
      </c>
      <c r="Q701" s="4">
        <f>IF(TRIM(Raw_Data!L701)="","Yes","No")</f>
        <v/>
      </c>
      <c r="R701" s="4">
        <f>IF(ISNUMBER(B701),"Valid","INVALID")</f>
        <v/>
      </c>
    </row>
    <row r="702">
      <c r="A702" s="4">
        <f>TRIM(Raw_Data!A702)</f>
        <v/>
      </c>
      <c r="B702" s="5">
        <f>Raw_Data!B702</f>
        <v/>
      </c>
      <c r="C702" s="4">
        <f>TRIM(Raw_Data!C702)</f>
        <v/>
      </c>
      <c r="D702" s="4">
        <f>PROPER(TRIM(Raw_Data!D702))</f>
        <v/>
      </c>
      <c r="E702" s="4">
        <f>Raw_Data!E702</f>
        <v/>
      </c>
      <c r="F702" s="6">
        <f>ROUND(Raw_Data!F702,2)</f>
        <v/>
      </c>
      <c r="G702" s="4">
        <f>PROPER(TRIM(Raw_Data!G702))</f>
        <v/>
      </c>
      <c r="H702" s="4">
        <f>PROPER(TRIM(Raw_Data!H702))</f>
        <v/>
      </c>
      <c r="I702" s="4">
        <f>PROPER(TRIM(Raw_Data!I702))</f>
        <v/>
      </c>
      <c r="J702" s="4">
        <f>TRIM(Raw_Data!J702)</f>
        <v/>
      </c>
      <c r="K702" s="4">
        <f>Raw_Data!K702</f>
        <v/>
      </c>
      <c r="L702" s="4">
        <f>IF(TRIM(Raw_Data!L702)="","No Coupon",TRIM(Raw_Data!L702))</f>
        <v/>
      </c>
      <c r="M702" s="4">
        <f>PROPER(TRIM(Raw_Data!M702))</f>
        <v/>
      </c>
      <c r="N702" s="6">
        <f>ROUND(Raw_Data!N702,2)</f>
        <v/>
      </c>
      <c r="O702" s="7">
        <f>IF(COUNTIF($A$2:$A$1201,A702)&gt;1,"DUPLICATE","Unique")</f>
        <v/>
      </c>
      <c r="P702" s="7">
        <f>IF(COUNTIF($J$2:$J$1201,J702)&gt;1,"DUPLICATE","Unique")</f>
        <v/>
      </c>
      <c r="Q702" s="4">
        <f>IF(TRIM(Raw_Data!L702)="","Yes","No")</f>
        <v/>
      </c>
      <c r="R702" s="4">
        <f>IF(ISNUMBER(B702),"Valid","INVALID")</f>
        <v/>
      </c>
    </row>
    <row r="703">
      <c r="A703" s="4">
        <f>TRIM(Raw_Data!A703)</f>
        <v/>
      </c>
      <c r="B703" s="5">
        <f>Raw_Data!B703</f>
        <v/>
      </c>
      <c r="C703" s="4">
        <f>TRIM(Raw_Data!C703)</f>
        <v/>
      </c>
      <c r="D703" s="4">
        <f>PROPER(TRIM(Raw_Data!D703))</f>
        <v/>
      </c>
      <c r="E703" s="4">
        <f>Raw_Data!E703</f>
        <v/>
      </c>
      <c r="F703" s="6">
        <f>ROUND(Raw_Data!F703,2)</f>
        <v/>
      </c>
      <c r="G703" s="4">
        <f>PROPER(TRIM(Raw_Data!G703))</f>
        <v/>
      </c>
      <c r="H703" s="4">
        <f>PROPER(TRIM(Raw_Data!H703))</f>
        <v/>
      </c>
      <c r="I703" s="4">
        <f>PROPER(TRIM(Raw_Data!I703))</f>
        <v/>
      </c>
      <c r="J703" s="4">
        <f>TRIM(Raw_Data!J703)</f>
        <v/>
      </c>
      <c r="K703" s="4">
        <f>Raw_Data!K703</f>
        <v/>
      </c>
      <c r="L703" s="4">
        <f>IF(TRIM(Raw_Data!L703)="","No Coupon",TRIM(Raw_Data!L703))</f>
        <v/>
      </c>
      <c r="M703" s="4">
        <f>PROPER(TRIM(Raw_Data!M703))</f>
        <v/>
      </c>
      <c r="N703" s="6">
        <f>ROUND(Raw_Data!N703,2)</f>
        <v/>
      </c>
      <c r="O703" s="7">
        <f>IF(COUNTIF($A$2:$A$1201,A703)&gt;1,"DUPLICATE","Unique")</f>
        <v/>
      </c>
      <c r="P703" s="7">
        <f>IF(COUNTIF($J$2:$J$1201,J703)&gt;1,"DUPLICATE","Unique")</f>
        <v/>
      </c>
      <c r="Q703" s="4">
        <f>IF(TRIM(Raw_Data!L703)="","Yes","No")</f>
        <v/>
      </c>
      <c r="R703" s="4">
        <f>IF(ISNUMBER(B703),"Valid","INVALID")</f>
        <v/>
      </c>
    </row>
    <row r="704">
      <c r="A704" s="4">
        <f>TRIM(Raw_Data!A704)</f>
        <v/>
      </c>
      <c r="B704" s="5">
        <f>Raw_Data!B704</f>
        <v/>
      </c>
      <c r="C704" s="4">
        <f>TRIM(Raw_Data!C704)</f>
        <v/>
      </c>
      <c r="D704" s="4">
        <f>PROPER(TRIM(Raw_Data!D704))</f>
        <v/>
      </c>
      <c r="E704" s="4">
        <f>Raw_Data!E704</f>
        <v/>
      </c>
      <c r="F704" s="6">
        <f>ROUND(Raw_Data!F704,2)</f>
        <v/>
      </c>
      <c r="G704" s="4">
        <f>PROPER(TRIM(Raw_Data!G704))</f>
        <v/>
      </c>
      <c r="H704" s="4">
        <f>PROPER(TRIM(Raw_Data!H704))</f>
        <v/>
      </c>
      <c r="I704" s="4">
        <f>PROPER(TRIM(Raw_Data!I704))</f>
        <v/>
      </c>
      <c r="J704" s="4">
        <f>TRIM(Raw_Data!J704)</f>
        <v/>
      </c>
      <c r="K704" s="4">
        <f>Raw_Data!K704</f>
        <v/>
      </c>
      <c r="L704" s="4">
        <f>IF(TRIM(Raw_Data!L704)="","No Coupon",TRIM(Raw_Data!L704))</f>
        <v/>
      </c>
      <c r="M704" s="4">
        <f>PROPER(TRIM(Raw_Data!M704))</f>
        <v/>
      </c>
      <c r="N704" s="6">
        <f>ROUND(Raw_Data!N704,2)</f>
        <v/>
      </c>
      <c r="O704" s="7">
        <f>IF(COUNTIF($A$2:$A$1201,A704)&gt;1,"DUPLICATE","Unique")</f>
        <v/>
      </c>
      <c r="P704" s="7">
        <f>IF(COUNTIF($J$2:$J$1201,J704)&gt;1,"DUPLICATE","Unique")</f>
        <v/>
      </c>
      <c r="Q704" s="4">
        <f>IF(TRIM(Raw_Data!L704)="","Yes","No")</f>
        <v/>
      </c>
      <c r="R704" s="4">
        <f>IF(ISNUMBER(B704),"Valid","INVALID")</f>
        <v/>
      </c>
    </row>
    <row r="705">
      <c r="A705" s="4">
        <f>TRIM(Raw_Data!A705)</f>
        <v/>
      </c>
      <c r="B705" s="5">
        <f>Raw_Data!B705</f>
        <v/>
      </c>
      <c r="C705" s="4">
        <f>TRIM(Raw_Data!C705)</f>
        <v/>
      </c>
      <c r="D705" s="4">
        <f>PROPER(TRIM(Raw_Data!D705))</f>
        <v/>
      </c>
      <c r="E705" s="4">
        <f>Raw_Data!E705</f>
        <v/>
      </c>
      <c r="F705" s="6">
        <f>ROUND(Raw_Data!F705,2)</f>
        <v/>
      </c>
      <c r="G705" s="4">
        <f>PROPER(TRIM(Raw_Data!G705))</f>
        <v/>
      </c>
      <c r="H705" s="4">
        <f>PROPER(TRIM(Raw_Data!H705))</f>
        <v/>
      </c>
      <c r="I705" s="4">
        <f>PROPER(TRIM(Raw_Data!I705))</f>
        <v/>
      </c>
      <c r="J705" s="4">
        <f>TRIM(Raw_Data!J705)</f>
        <v/>
      </c>
      <c r="K705" s="4">
        <f>Raw_Data!K705</f>
        <v/>
      </c>
      <c r="L705" s="4">
        <f>IF(TRIM(Raw_Data!L705)="","No Coupon",TRIM(Raw_Data!L705))</f>
        <v/>
      </c>
      <c r="M705" s="4">
        <f>PROPER(TRIM(Raw_Data!M705))</f>
        <v/>
      </c>
      <c r="N705" s="6">
        <f>ROUND(Raw_Data!N705,2)</f>
        <v/>
      </c>
      <c r="O705" s="7">
        <f>IF(COUNTIF($A$2:$A$1201,A705)&gt;1,"DUPLICATE","Unique")</f>
        <v/>
      </c>
      <c r="P705" s="7">
        <f>IF(COUNTIF($J$2:$J$1201,J705)&gt;1,"DUPLICATE","Unique")</f>
        <v/>
      </c>
      <c r="Q705" s="4">
        <f>IF(TRIM(Raw_Data!L705)="","Yes","No")</f>
        <v/>
      </c>
      <c r="R705" s="4">
        <f>IF(ISNUMBER(B705),"Valid","INVALID")</f>
        <v/>
      </c>
    </row>
    <row r="706">
      <c r="A706" s="4">
        <f>TRIM(Raw_Data!A706)</f>
        <v/>
      </c>
      <c r="B706" s="5">
        <f>Raw_Data!B706</f>
        <v/>
      </c>
      <c r="C706" s="4">
        <f>TRIM(Raw_Data!C706)</f>
        <v/>
      </c>
      <c r="D706" s="4">
        <f>PROPER(TRIM(Raw_Data!D706))</f>
        <v/>
      </c>
      <c r="E706" s="4">
        <f>Raw_Data!E706</f>
        <v/>
      </c>
      <c r="F706" s="6">
        <f>ROUND(Raw_Data!F706,2)</f>
        <v/>
      </c>
      <c r="G706" s="4">
        <f>PROPER(TRIM(Raw_Data!G706))</f>
        <v/>
      </c>
      <c r="H706" s="4">
        <f>PROPER(TRIM(Raw_Data!H706))</f>
        <v/>
      </c>
      <c r="I706" s="4">
        <f>PROPER(TRIM(Raw_Data!I706))</f>
        <v/>
      </c>
      <c r="J706" s="4">
        <f>TRIM(Raw_Data!J706)</f>
        <v/>
      </c>
      <c r="K706" s="4">
        <f>Raw_Data!K706</f>
        <v/>
      </c>
      <c r="L706" s="4">
        <f>IF(TRIM(Raw_Data!L706)="","No Coupon",TRIM(Raw_Data!L706))</f>
        <v/>
      </c>
      <c r="M706" s="4">
        <f>PROPER(TRIM(Raw_Data!M706))</f>
        <v/>
      </c>
      <c r="N706" s="6">
        <f>ROUND(Raw_Data!N706,2)</f>
        <v/>
      </c>
      <c r="O706" s="7">
        <f>IF(COUNTIF($A$2:$A$1201,A706)&gt;1,"DUPLICATE","Unique")</f>
        <v/>
      </c>
      <c r="P706" s="7">
        <f>IF(COUNTIF($J$2:$J$1201,J706)&gt;1,"DUPLICATE","Unique")</f>
        <v/>
      </c>
      <c r="Q706" s="4">
        <f>IF(TRIM(Raw_Data!L706)="","Yes","No")</f>
        <v/>
      </c>
      <c r="R706" s="4">
        <f>IF(ISNUMBER(B706),"Valid","INVALID")</f>
        <v/>
      </c>
    </row>
    <row r="707">
      <c r="A707" s="4">
        <f>TRIM(Raw_Data!A707)</f>
        <v/>
      </c>
      <c r="B707" s="5">
        <f>Raw_Data!B707</f>
        <v/>
      </c>
      <c r="C707" s="4">
        <f>TRIM(Raw_Data!C707)</f>
        <v/>
      </c>
      <c r="D707" s="4">
        <f>PROPER(TRIM(Raw_Data!D707))</f>
        <v/>
      </c>
      <c r="E707" s="4">
        <f>Raw_Data!E707</f>
        <v/>
      </c>
      <c r="F707" s="6">
        <f>ROUND(Raw_Data!F707,2)</f>
        <v/>
      </c>
      <c r="G707" s="4">
        <f>PROPER(TRIM(Raw_Data!G707))</f>
        <v/>
      </c>
      <c r="H707" s="4">
        <f>PROPER(TRIM(Raw_Data!H707))</f>
        <v/>
      </c>
      <c r="I707" s="4">
        <f>PROPER(TRIM(Raw_Data!I707))</f>
        <v/>
      </c>
      <c r="J707" s="4">
        <f>TRIM(Raw_Data!J707)</f>
        <v/>
      </c>
      <c r="K707" s="4">
        <f>Raw_Data!K707</f>
        <v/>
      </c>
      <c r="L707" s="4">
        <f>IF(TRIM(Raw_Data!L707)="","No Coupon",TRIM(Raw_Data!L707))</f>
        <v/>
      </c>
      <c r="M707" s="4">
        <f>PROPER(TRIM(Raw_Data!M707))</f>
        <v/>
      </c>
      <c r="N707" s="6">
        <f>ROUND(Raw_Data!N707,2)</f>
        <v/>
      </c>
      <c r="O707" s="7">
        <f>IF(COUNTIF($A$2:$A$1201,A707)&gt;1,"DUPLICATE","Unique")</f>
        <v/>
      </c>
      <c r="P707" s="7">
        <f>IF(COUNTIF($J$2:$J$1201,J707)&gt;1,"DUPLICATE","Unique")</f>
        <v/>
      </c>
      <c r="Q707" s="4">
        <f>IF(TRIM(Raw_Data!L707)="","Yes","No")</f>
        <v/>
      </c>
      <c r="R707" s="4">
        <f>IF(ISNUMBER(B707),"Valid","INVALID")</f>
        <v/>
      </c>
    </row>
    <row r="708">
      <c r="A708" s="4">
        <f>TRIM(Raw_Data!A708)</f>
        <v/>
      </c>
      <c r="B708" s="5">
        <f>Raw_Data!B708</f>
        <v/>
      </c>
      <c r="C708" s="4">
        <f>TRIM(Raw_Data!C708)</f>
        <v/>
      </c>
      <c r="D708" s="4">
        <f>PROPER(TRIM(Raw_Data!D708))</f>
        <v/>
      </c>
      <c r="E708" s="4">
        <f>Raw_Data!E708</f>
        <v/>
      </c>
      <c r="F708" s="6">
        <f>ROUND(Raw_Data!F708,2)</f>
        <v/>
      </c>
      <c r="G708" s="4">
        <f>PROPER(TRIM(Raw_Data!G708))</f>
        <v/>
      </c>
      <c r="H708" s="4">
        <f>PROPER(TRIM(Raw_Data!H708))</f>
        <v/>
      </c>
      <c r="I708" s="4">
        <f>PROPER(TRIM(Raw_Data!I708))</f>
        <v/>
      </c>
      <c r="J708" s="4">
        <f>TRIM(Raw_Data!J708)</f>
        <v/>
      </c>
      <c r="K708" s="4">
        <f>Raw_Data!K708</f>
        <v/>
      </c>
      <c r="L708" s="4">
        <f>IF(TRIM(Raw_Data!L708)="","No Coupon",TRIM(Raw_Data!L708))</f>
        <v/>
      </c>
      <c r="M708" s="4">
        <f>PROPER(TRIM(Raw_Data!M708))</f>
        <v/>
      </c>
      <c r="N708" s="6">
        <f>ROUND(Raw_Data!N708,2)</f>
        <v/>
      </c>
      <c r="O708" s="7">
        <f>IF(COUNTIF($A$2:$A$1201,A708)&gt;1,"DUPLICATE","Unique")</f>
        <v/>
      </c>
      <c r="P708" s="7">
        <f>IF(COUNTIF($J$2:$J$1201,J708)&gt;1,"DUPLICATE","Unique")</f>
        <v/>
      </c>
      <c r="Q708" s="4">
        <f>IF(TRIM(Raw_Data!L708)="","Yes","No")</f>
        <v/>
      </c>
      <c r="R708" s="4">
        <f>IF(ISNUMBER(B708),"Valid","INVALID")</f>
        <v/>
      </c>
    </row>
    <row r="709">
      <c r="A709" s="4">
        <f>TRIM(Raw_Data!A709)</f>
        <v/>
      </c>
      <c r="B709" s="5">
        <f>Raw_Data!B709</f>
        <v/>
      </c>
      <c r="C709" s="4">
        <f>TRIM(Raw_Data!C709)</f>
        <v/>
      </c>
      <c r="D709" s="4">
        <f>PROPER(TRIM(Raw_Data!D709))</f>
        <v/>
      </c>
      <c r="E709" s="4">
        <f>Raw_Data!E709</f>
        <v/>
      </c>
      <c r="F709" s="6">
        <f>ROUND(Raw_Data!F709,2)</f>
        <v/>
      </c>
      <c r="G709" s="4">
        <f>PROPER(TRIM(Raw_Data!G709))</f>
        <v/>
      </c>
      <c r="H709" s="4">
        <f>PROPER(TRIM(Raw_Data!H709))</f>
        <v/>
      </c>
      <c r="I709" s="4">
        <f>PROPER(TRIM(Raw_Data!I709))</f>
        <v/>
      </c>
      <c r="J709" s="4">
        <f>TRIM(Raw_Data!J709)</f>
        <v/>
      </c>
      <c r="K709" s="4">
        <f>Raw_Data!K709</f>
        <v/>
      </c>
      <c r="L709" s="4">
        <f>IF(TRIM(Raw_Data!L709)="","No Coupon",TRIM(Raw_Data!L709))</f>
        <v/>
      </c>
      <c r="M709" s="4">
        <f>PROPER(TRIM(Raw_Data!M709))</f>
        <v/>
      </c>
      <c r="N709" s="6">
        <f>ROUND(Raw_Data!N709,2)</f>
        <v/>
      </c>
      <c r="O709" s="7">
        <f>IF(COUNTIF($A$2:$A$1201,A709)&gt;1,"DUPLICATE","Unique")</f>
        <v/>
      </c>
      <c r="P709" s="7">
        <f>IF(COUNTIF($J$2:$J$1201,J709)&gt;1,"DUPLICATE","Unique")</f>
        <v/>
      </c>
      <c r="Q709" s="4">
        <f>IF(TRIM(Raw_Data!L709)="","Yes","No")</f>
        <v/>
      </c>
      <c r="R709" s="4">
        <f>IF(ISNUMBER(B709),"Valid","INVALID")</f>
        <v/>
      </c>
    </row>
    <row r="710">
      <c r="A710" s="4">
        <f>TRIM(Raw_Data!A710)</f>
        <v/>
      </c>
      <c r="B710" s="5">
        <f>Raw_Data!B710</f>
        <v/>
      </c>
      <c r="C710" s="4">
        <f>TRIM(Raw_Data!C710)</f>
        <v/>
      </c>
      <c r="D710" s="4">
        <f>PROPER(TRIM(Raw_Data!D710))</f>
        <v/>
      </c>
      <c r="E710" s="4">
        <f>Raw_Data!E710</f>
        <v/>
      </c>
      <c r="F710" s="6">
        <f>ROUND(Raw_Data!F710,2)</f>
        <v/>
      </c>
      <c r="G710" s="4">
        <f>PROPER(TRIM(Raw_Data!G710))</f>
        <v/>
      </c>
      <c r="H710" s="4">
        <f>PROPER(TRIM(Raw_Data!H710))</f>
        <v/>
      </c>
      <c r="I710" s="4">
        <f>PROPER(TRIM(Raw_Data!I710))</f>
        <v/>
      </c>
      <c r="J710" s="4">
        <f>TRIM(Raw_Data!J710)</f>
        <v/>
      </c>
      <c r="K710" s="4">
        <f>Raw_Data!K710</f>
        <v/>
      </c>
      <c r="L710" s="4">
        <f>IF(TRIM(Raw_Data!L710)="","No Coupon",TRIM(Raw_Data!L710))</f>
        <v/>
      </c>
      <c r="M710" s="4">
        <f>PROPER(TRIM(Raw_Data!M710))</f>
        <v/>
      </c>
      <c r="N710" s="6">
        <f>ROUND(Raw_Data!N710,2)</f>
        <v/>
      </c>
      <c r="O710" s="7">
        <f>IF(COUNTIF($A$2:$A$1201,A710)&gt;1,"DUPLICATE","Unique")</f>
        <v/>
      </c>
      <c r="P710" s="7">
        <f>IF(COUNTIF($J$2:$J$1201,J710)&gt;1,"DUPLICATE","Unique")</f>
        <v/>
      </c>
      <c r="Q710" s="4">
        <f>IF(TRIM(Raw_Data!L710)="","Yes","No")</f>
        <v/>
      </c>
      <c r="R710" s="4">
        <f>IF(ISNUMBER(B710),"Valid","INVALID")</f>
        <v/>
      </c>
    </row>
    <row r="711">
      <c r="A711" s="4">
        <f>TRIM(Raw_Data!A711)</f>
        <v/>
      </c>
      <c r="B711" s="5">
        <f>Raw_Data!B711</f>
        <v/>
      </c>
      <c r="C711" s="4">
        <f>TRIM(Raw_Data!C711)</f>
        <v/>
      </c>
      <c r="D711" s="4">
        <f>PROPER(TRIM(Raw_Data!D711))</f>
        <v/>
      </c>
      <c r="E711" s="4">
        <f>Raw_Data!E711</f>
        <v/>
      </c>
      <c r="F711" s="6">
        <f>ROUND(Raw_Data!F711,2)</f>
        <v/>
      </c>
      <c r="G711" s="4">
        <f>PROPER(TRIM(Raw_Data!G711))</f>
        <v/>
      </c>
      <c r="H711" s="4">
        <f>PROPER(TRIM(Raw_Data!H711))</f>
        <v/>
      </c>
      <c r="I711" s="4">
        <f>PROPER(TRIM(Raw_Data!I711))</f>
        <v/>
      </c>
      <c r="J711" s="4">
        <f>TRIM(Raw_Data!J711)</f>
        <v/>
      </c>
      <c r="K711" s="4">
        <f>Raw_Data!K711</f>
        <v/>
      </c>
      <c r="L711" s="4">
        <f>IF(TRIM(Raw_Data!L711)="","No Coupon",TRIM(Raw_Data!L711))</f>
        <v/>
      </c>
      <c r="M711" s="4">
        <f>PROPER(TRIM(Raw_Data!M711))</f>
        <v/>
      </c>
      <c r="N711" s="6">
        <f>ROUND(Raw_Data!N711,2)</f>
        <v/>
      </c>
      <c r="O711" s="7">
        <f>IF(COUNTIF($A$2:$A$1201,A711)&gt;1,"DUPLICATE","Unique")</f>
        <v/>
      </c>
      <c r="P711" s="7">
        <f>IF(COUNTIF($J$2:$J$1201,J711)&gt;1,"DUPLICATE","Unique")</f>
        <v/>
      </c>
      <c r="Q711" s="4">
        <f>IF(TRIM(Raw_Data!L711)="","Yes","No")</f>
        <v/>
      </c>
      <c r="R711" s="4">
        <f>IF(ISNUMBER(B711),"Valid","INVALID")</f>
        <v/>
      </c>
    </row>
    <row r="712">
      <c r="A712" s="4">
        <f>TRIM(Raw_Data!A712)</f>
        <v/>
      </c>
      <c r="B712" s="5">
        <f>Raw_Data!B712</f>
        <v/>
      </c>
      <c r="C712" s="4">
        <f>TRIM(Raw_Data!C712)</f>
        <v/>
      </c>
      <c r="D712" s="4">
        <f>PROPER(TRIM(Raw_Data!D712))</f>
        <v/>
      </c>
      <c r="E712" s="4">
        <f>Raw_Data!E712</f>
        <v/>
      </c>
      <c r="F712" s="6">
        <f>ROUND(Raw_Data!F712,2)</f>
        <v/>
      </c>
      <c r="G712" s="4">
        <f>PROPER(TRIM(Raw_Data!G712))</f>
        <v/>
      </c>
      <c r="H712" s="4">
        <f>PROPER(TRIM(Raw_Data!H712))</f>
        <v/>
      </c>
      <c r="I712" s="4">
        <f>PROPER(TRIM(Raw_Data!I712))</f>
        <v/>
      </c>
      <c r="J712" s="4">
        <f>TRIM(Raw_Data!J712)</f>
        <v/>
      </c>
      <c r="K712" s="4">
        <f>Raw_Data!K712</f>
        <v/>
      </c>
      <c r="L712" s="4">
        <f>IF(TRIM(Raw_Data!L712)="","No Coupon",TRIM(Raw_Data!L712))</f>
        <v/>
      </c>
      <c r="M712" s="4">
        <f>PROPER(TRIM(Raw_Data!M712))</f>
        <v/>
      </c>
      <c r="N712" s="6">
        <f>ROUND(Raw_Data!N712,2)</f>
        <v/>
      </c>
      <c r="O712" s="7">
        <f>IF(COUNTIF($A$2:$A$1201,A712)&gt;1,"DUPLICATE","Unique")</f>
        <v/>
      </c>
      <c r="P712" s="7">
        <f>IF(COUNTIF($J$2:$J$1201,J712)&gt;1,"DUPLICATE","Unique")</f>
        <v/>
      </c>
      <c r="Q712" s="4">
        <f>IF(TRIM(Raw_Data!L712)="","Yes","No")</f>
        <v/>
      </c>
      <c r="R712" s="4">
        <f>IF(ISNUMBER(B712),"Valid","INVALID")</f>
        <v/>
      </c>
    </row>
    <row r="713">
      <c r="A713" s="4">
        <f>TRIM(Raw_Data!A713)</f>
        <v/>
      </c>
      <c r="B713" s="5">
        <f>Raw_Data!B713</f>
        <v/>
      </c>
      <c r="C713" s="4">
        <f>TRIM(Raw_Data!C713)</f>
        <v/>
      </c>
      <c r="D713" s="4">
        <f>PROPER(TRIM(Raw_Data!D713))</f>
        <v/>
      </c>
      <c r="E713" s="4">
        <f>Raw_Data!E713</f>
        <v/>
      </c>
      <c r="F713" s="6">
        <f>ROUND(Raw_Data!F713,2)</f>
        <v/>
      </c>
      <c r="G713" s="4">
        <f>PROPER(TRIM(Raw_Data!G713))</f>
        <v/>
      </c>
      <c r="H713" s="4">
        <f>PROPER(TRIM(Raw_Data!H713))</f>
        <v/>
      </c>
      <c r="I713" s="4">
        <f>PROPER(TRIM(Raw_Data!I713))</f>
        <v/>
      </c>
      <c r="J713" s="4">
        <f>TRIM(Raw_Data!J713)</f>
        <v/>
      </c>
      <c r="K713" s="4">
        <f>Raw_Data!K713</f>
        <v/>
      </c>
      <c r="L713" s="4">
        <f>IF(TRIM(Raw_Data!L713)="","No Coupon",TRIM(Raw_Data!L713))</f>
        <v/>
      </c>
      <c r="M713" s="4">
        <f>PROPER(TRIM(Raw_Data!M713))</f>
        <v/>
      </c>
      <c r="N713" s="6">
        <f>ROUND(Raw_Data!N713,2)</f>
        <v/>
      </c>
      <c r="O713" s="7">
        <f>IF(COUNTIF($A$2:$A$1201,A713)&gt;1,"DUPLICATE","Unique")</f>
        <v/>
      </c>
      <c r="P713" s="7">
        <f>IF(COUNTIF($J$2:$J$1201,J713)&gt;1,"DUPLICATE","Unique")</f>
        <v/>
      </c>
      <c r="Q713" s="4">
        <f>IF(TRIM(Raw_Data!L713)="","Yes","No")</f>
        <v/>
      </c>
      <c r="R713" s="4">
        <f>IF(ISNUMBER(B713),"Valid","INVALID")</f>
        <v/>
      </c>
    </row>
    <row r="714">
      <c r="A714" s="4">
        <f>TRIM(Raw_Data!A714)</f>
        <v/>
      </c>
      <c r="B714" s="5">
        <f>Raw_Data!B714</f>
        <v/>
      </c>
      <c r="C714" s="4">
        <f>TRIM(Raw_Data!C714)</f>
        <v/>
      </c>
      <c r="D714" s="4">
        <f>PROPER(TRIM(Raw_Data!D714))</f>
        <v/>
      </c>
      <c r="E714" s="4">
        <f>Raw_Data!E714</f>
        <v/>
      </c>
      <c r="F714" s="6">
        <f>ROUND(Raw_Data!F714,2)</f>
        <v/>
      </c>
      <c r="G714" s="4">
        <f>PROPER(TRIM(Raw_Data!G714))</f>
        <v/>
      </c>
      <c r="H714" s="4">
        <f>PROPER(TRIM(Raw_Data!H714))</f>
        <v/>
      </c>
      <c r="I714" s="4">
        <f>PROPER(TRIM(Raw_Data!I714))</f>
        <v/>
      </c>
      <c r="J714" s="4">
        <f>TRIM(Raw_Data!J714)</f>
        <v/>
      </c>
      <c r="K714" s="4">
        <f>Raw_Data!K714</f>
        <v/>
      </c>
      <c r="L714" s="4">
        <f>IF(TRIM(Raw_Data!L714)="","No Coupon",TRIM(Raw_Data!L714))</f>
        <v/>
      </c>
      <c r="M714" s="4">
        <f>PROPER(TRIM(Raw_Data!M714))</f>
        <v/>
      </c>
      <c r="N714" s="6">
        <f>ROUND(Raw_Data!N714,2)</f>
        <v/>
      </c>
      <c r="O714" s="7">
        <f>IF(COUNTIF($A$2:$A$1201,A714)&gt;1,"DUPLICATE","Unique")</f>
        <v/>
      </c>
      <c r="P714" s="7">
        <f>IF(COUNTIF($J$2:$J$1201,J714)&gt;1,"DUPLICATE","Unique")</f>
        <v/>
      </c>
      <c r="Q714" s="4">
        <f>IF(TRIM(Raw_Data!L714)="","Yes","No")</f>
        <v/>
      </c>
      <c r="R714" s="4">
        <f>IF(ISNUMBER(B714),"Valid","INVALID")</f>
        <v/>
      </c>
    </row>
    <row r="715">
      <c r="A715" s="4">
        <f>TRIM(Raw_Data!A715)</f>
        <v/>
      </c>
      <c r="B715" s="5">
        <f>Raw_Data!B715</f>
        <v/>
      </c>
      <c r="C715" s="4">
        <f>TRIM(Raw_Data!C715)</f>
        <v/>
      </c>
      <c r="D715" s="4">
        <f>PROPER(TRIM(Raw_Data!D715))</f>
        <v/>
      </c>
      <c r="E715" s="4">
        <f>Raw_Data!E715</f>
        <v/>
      </c>
      <c r="F715" s="6">
        <f>ROUND(Raw_Data!F715,2)</f>
        <v/>
      </c>
      <c r="G715" s="4">
        <f>PROPER(TRIM(Raw_Data!G715))</f>
        <v/>
      </c>
      <c r="H715" s="4">
        <f>PROPER(TRIM(Raw_Data!H715))</f>
        <v/>
      </c>
      <c r="I715" s="4">
        <f>PROPER(TRIM(Raw_Data!I715))</f>
        <v/>
      </c>
      <c r="J715" s="4">
        <f>TRIM(Raw_Data!J715)</f>
        <v/>
      </c>
      <c r="K715" s="4">
        <f>Raw_Data!K715</f>
        <v/>
      </c>
      <c r="L715" s="4">
        <f>IF(TRIM(Raw_Data!L715)="","No Coupon",TRIM(Raw_Data!L715))</f>
        <v/>
      </c>
      <c r="M715" s="4">
        <f>PROPER(TRIM(Raw_Data!M715))</f>
        <v/>
      </c>
      <c r="N715" s="6">
        <f>ROUND(Raw_Data!N715,2)</f>
        <v/>
      </c>
      <c r="O715" s="7">
        <f>IF(COUNTIF($A$2:$A$1201,A715)&gt;1,"DUPLICATE","Unique")</f>
        <v/>
      </c>
      <c r="P715" s="7">
        <f>IF(COUNTIF($J$2:$J$1201,J715)&gt;1,"DUPLICATE","Unique")</f>
        <v/>
      </c>
      <c r="Q715" s="4">
        <f>IF(TRIM(Raw_Data!L715)="","Yes","No")</f>
        <v/>
      </c>
      <c r="R715" s="4">
        <f>IF(ISNUMBER(B715),"Valid","INVALID")</f>
        <v/>
      </c>
    </row>
    <row r="716">
      <c r="A716" s="4">
        <f>TRIM(Raw_Data!A716)</f>
        <v/>
      </c>
      <c r="B716" s="5">
        <f>Raw_Data!B716</f>
        <v/>
      </c>
      <c r="C716" s="4">
        <f>TRIM(Raw_Data!C716)</f>
        <v/>
      </c>
      <c r="D716" s="4">
        <f>PROPER(TRIM(Raw_Data!D716))</f>
        <v/>
      </c>
      <c r="E716" s="4">
        <f>Raw_Data!E716</f>
        <v/>
      </c>
      <c r="F716" s="6">
        <f>ROUND(Raw_Data!F716,2)</f>
        <v/>
      </c>
      <c r="G716" s="4">
        <f>PROPER(TRIM(Raw_Data!G716))</f>
        <v/>
      </c>
      <c r="H716" s="4">
        <f>PROPER(TRIM(Raw_Data!H716))</f>
        <v/>
      </c>
      <c r="I716" s="4">
        <f>PROPER(TRIM(Raw_Data!I716))</f>
        <v/>
      </c>
      <c r="J716" s="4">
        <f>TRIM(Raw_Data!J716)</f>
        <v/>
      </c>
      <c r="K716" s="4">
        <f>Raw_Data!K716</f>
        <v/>
      </c>
      <c r="L716" s="4">
        <f>IF(TRIM(Raw_Data!L716)="","No Coupon",TRIM(Raw_Data!L716))</f>
        <v/>
      </c>
      <c r="M716" s="4">
        <f>PROPER(TRIM(Raw_Data!M716))</f>
        <v/>
      </c>
      <c r="N716" s="6">
        <f>ROUND(Raw_Data!N716,2)</f>
        <v/>
      </c>
      <c r="O716" s="7">
        <f>IF(COUNTIF($A$2:$A$1201,A716)&gt;1,"DUPLICATE","Unique")</f>
        <v/>
      </c>
      <c r="P716" s="7">
        <f>IF(COUNTIF($J$2:$J$1201,J716)&gt;1,"DUPLICATE","Unique")</f>
        <v/>
      </c>
      <c r="Q716" s="4">
        <f>IF(TRIM(Raw_Data!L716)="","Yes","No")</f>
        <v/>
      </c>
      <c r="R716" s="4">
        <f>IF(ISNUMBER(B716),"Valid","INVALID")</f>
        <v/>
      </c>
    </row>
    <row r="717">
      <c r="A717" s="4">
        <f>TRIM(Raw_Data!A717)</f>
        <v/>
      </c>
      <c r="B717" s="5">
        <f>Raw_Data!B717</f>
        <v/>
      </c>
      <c r="C717" s="4">
        <f>TRIM(Raw_Data!C717)</f>
        <v/>
      </c>
      <c r="D717" s="4">
        <f>PROPER(TRIM(Raw_Data!D717))</f>
        <v/>
      </c>
      <c r="E717" s="4">
        <f>Raw_Data!E717</f>
        <v/>
      </c>
      <c r="F717" s="6">
        <f>ROUND(Raw_Data!F717,2)</f>
        <v/>
      </c>
      <c r="G717" s="4">
        <f>PROPER(TRIM(Raw_Data!G717))</f>
        <v/>
      </c>
      <c r="H717" s="4">
        <f>PROPER(TRIM(Raw_Data!H717))</f>
        <v/>
      </c>
      <c r="I717" s="4">
        <f>PROPER(TRIM(Raw_Data!I717))</f>
        <v/>
      </c>
      <c r="J717" s="4">
        <f>TRIM(Raw_Data!J717)</f>
        <v/>
      </c>
      <c r="K717" s="4">
        <f>Raw_Data!K717</f>
        <v/>
      </c>
      <c r="L717" s="4">
        <f>IF(TRIM(Raw_Data!L717)="","No Coupon",TRIM(Raw_Data!L717))</f>
        <v/>
      </c>
      <c r="M717" s="4">
        <f>PROPER(TRIM(Raw_Data!M717))</f>
        <v/>
      </c>
      <c r="N717" s="6">
        <f>ROUND(Raw_Data!N717,2)</f>
        <v/>
      </c>
      <c r="O717" s="7">
        <f>IF(COUNTIF($A$2:$A$1201,A717)&gt;1,"DUPLICATE","Unique")</f>
        <v/>
      </c>
      <c r="P717" s="7">
        <f>IF(COUNTIF($J$2:$J$1201,J717)&gt;1,"DUPLICATE","Unique")</f>
        <v/>
      </c>
      <c r="Q717" s="4">
        <f>IF(TRIM(Raw_Data!L717)="","Yes","No")</f>
        <v/>
      </c>
      <c r="R717" s="4">
        <f>IF(ISNUMBER(B717),"Valid","INVALID")</f>
        <v/>
      </c>
    </row>
    <row r="718">
      <c r="A718" s="4">
        <f>TRIM(Raw_Data!A718)</f>
        <v/>
      </c>
      <c r="B718" s="5">
        <f>Raw_Data!B718</f>
        <v/>
      </c>
      <c r="C718" s="4">
        <f>TRIM(Raw_Data!C718)</f>
        <v/>
      </c>
      <c r="D718" s="4">
        <f>PROPER(TRIM(Raw_Data!D718))</f>
        <v/>
      </c>
      <c r="E718" s="4">
        <f>Raw_Data!E718</f>
        <v/>
      </c>
      <c r="F718" s="6">
        <f>ROUND(Raw_Data!F718,2)</f>
        <v/>
      </c>
      <c r="G718" s="4">
        <f>PROPER(TRIM(Raw_Data!G718))</f>
        <v/>
      </c>
      <c r="H718" s="4">
        <f>PROPER(TRIM(Raw_Data!H718))</f>
        <v/>
      </c>
      <c r="I718" s="4">
        <f>PROPER(TRIM(Raw_Data!I718))</f>
        <v/>
      </c>
      <c r="J718" s="4">
        <f>TRIM(Raw_Data!J718)</f>
        <v/>
      </c>
      <c r="K718" s="4">
        <f>Raw_Data!K718</f>
        <v/>
      </c>
      <c r="L718" s="4">
        <f>IF(TRIM(Raw_Data!L718)="","No Coupon",TRIM(Raw_Data!L718))</f>
        <v/>
      </c>
      <c r="M718" s="4">
        <f>PROPER(TRIM(Raw_Data!M718))</f>
        <v/>
      </c>
      <c r="N718" s="6">
        <f>ROUND(Raw_Data!N718,2)</f>
        <v/>
      </c>
      <c r="O718" s="7">
        <f>IF(COUNTIF($A$2:$A$1201,A718)&gt;1,"DUPLICATE","Unique")</f>
        <v/>
      </c>
      <c r="P718" s="7">
        <f>IF(COUNTIF($J$2:$J$1201,J718)&gt;1,"DUPLICATE","Unique")</f>
        <v/>
      </c>
      <c r="Q718" s="4">
        <f>IF(TRIM(Raw_Data!L718)="","Yes","No")</f>
        <v/>
      </c>
      <c r="R718" s="4">
        <f>IF(ISNUMBER(B718),"Valid","INVALID")</f>
        <v/>
      </c>
    </row>
    <row r="719">
      <c r="A719" s="4">
        <f>TRIM(Raw_Data!A719)</f>
        <v/>
      </c>
      <c r="B719" s="5">
        <f>Raw_Data!B719</f>
        <v/>
      </c>
      <c r="C719" s="4">
        <f>TRIM(Raw_Data!C719)</f>
        <v/>
      </c>
      <c r="D719" s="4">
        <f>PROPER(TRIM(Raw_Data!D719))</f>
        <v/>
      </c>
      <c r="E719" s="4">
        <f>Raw_Data!E719</f>
        <v/>
      </c>
      <c r="F719" s="6">
        <f>ROUND(Raw_Data!F719,2)</f>
        <v/>
      </c>
      <c r="G719" s="4">
        <f>PROPER(TRIM(Raw_Data!G719))</f>
        <v/>
      </c>
      <c r="H719" s="4">
        <f>PROPER(TRIM(Raw_Data!H719))</f>
        <v/>
      </c>
      <c r="I719" s="4">
        <f>PROPER(TRIM(Raw_Data!I719))</f>
        <v/>
      </c>
      <c r="J719" s="4">
        <f>TRIM(Raw_Data!J719)</f>
        <v/>
      </c>
      <c r="K719" s="4">
        <f>Raw_Data!K719</f>
        <v/>
      </c>
      <c r="L719" s="4">
        <f>IF(TRIM(Raw_Data!L719)="","No Coupon",TRIM(Raw_Data!L719))</f>
        <v/>
      </c>
      <c r="M719" s="4">
        <f>PROPER(TRIM(Raw_Data!M719))</f>
        <v/>
      </c>
      <c r="N719" s="6">
        <f>ROUND(Raw_Data!N719,2)</f>
        <v/>
      </c>
      <c r="O719" s="7">
        <f>IF(COUNTIF($A$2:$A$1201,A719)&gt;1,"DUPLICATE","Unique")</f>
        <v/>
      </c>
      <c r="P719" s="7">
        <f>IF(COUNTIF($J$2:$J$1201,J719)&gt;1,"DUPLICATE","Unique")</f>
        <v/>
      </c>
      <c r="Q719" s="4">
        <f>IF(TRIM(Raw_Data!L719)="","Yes","No")</f>
        <v/>
      </c>
      <c r="R719" s="4">
        <f>IF(ISNUMBER(B719),"Valid","INVALID")</f>
        <v/>
      </c>
    </row>
    <row r="720">
      <c r="A720" s="4">
        <f>TRIM(Raw_Data!A720)</f>
        <v/>
      </c>
      <c r="B720" s="5">
        <f>Raw_Data!B720</f>
        <v/>
      </c>
      <c r="C720" s="4">
        <f>TRIM(Raw_Data!C720)</f>
        <v/>
      </c>
      <c r="D720" s="4">
        <f>PROPER(TRIM(Raw_Data!D720))</f>
        <v/>
      </c>
      <c r="E720" s="4">
        <f>Raw_Data!E720</f>
        <v/>
      </c>
      <c r="F720" s="6">
        <f>ROUND(Raw_Data!F720,2)</f>
        <v/>
      </c>
      <c r="G720" s="4">
        <f>PROPER(TRIM(Raw_Data!G720))</f>
        <v/>
      </c>
      <c r="H720" s="4">
        <f>PROPER(TRIM(Raw_Data!H720))</f>
        <v/>
      </c>
      <c r="I720" s="4">
        <f>PROPER(TRIM(Raw_Data!I720))</f>
        <v/>
      </c>
      <c r="J720" s="4">
        <f>TRIM(Raw_Data!J720)</f>
        <v/>
      </c>
      <c r="K720" s="4">
        <f>Raw_Data!K720</f>
        <v/>
      </c>
      <c r="L720" s="4">
        <f>IF(TRIM(Raw_Data!L720)="","No Coupon",TRIM(Raw_Data!L720))</f>
        <v/>
      </c>
      <c r="M720" s="4">
        <f>PROPER(TRIM(Raw_Data!M720))</f>
        <v/>
      </c>
      <c r="N720" s="6">
        <f>ROUND(Raw_Data!N720,2)</f>
        <v/>
      </c>
      <c r="O720" s="7">
        <f>IF(COUNTIF($A$2:$A$1201,A720)&gt;1,"DUPLICATE","Unique")</f>
        <v/>
      </c>
      <c r="P720" s="7">
        <f>IF(COUNTIF($J$2:$J$1201,J720)&gt;1,"DUPLICATE","Unique")</f>
        <v/>
      </c>
      <c r="Q720" s="4">
        <f>IF(TRIM(Raw_Data!L720)="","Yes","No")</f>
        <v/>
      </c>
      <c r="R720" s="4">
        <f>IF(ISNUMBER(B720),"Valid","INVALID")</f>
        <v/>
      </c>
    </row>
    <row r="721">
      <c r="A721" s="4">
        <f>TRIM(Raw_Data!A721)</f>
        <v/>
      </c>
      <c r="B721" s="5">
        <f>Raw_Data!B721</f>
        <v/>
      </c>
      <c r="C721" s="4">
        <f>TRIM(Raw_Data!C721)</f>
        <v/>
      </c>
      <c r="D721" s="4">
        <f>PROPER(TRIM(Raw_Data!D721))</f>
        <v/>
      </c>
      <c r="E721" s="4">
        <f>Raw_Data!E721</f>
        <v/>
      </c>
      <c r="F721" s="6">
        <f>ROUND(Raw_Data!F721,2)</f>
        <v/>
      </c>
      <c r="G721" s="4">
        <f>PROPER(TRIM(Raw_Data!G721))</f>
        <v/>
      </c>
      <c r="H721" s="4">
        <f>PROPER(TRIM(Raw_Data!H721))</f>
        <v/>
      </c>
      <c r="I721" s="4">
        <f>PROPER(TRIM(Raw_Data!I721))</f>
        <v/>
      </c>
      <c r="J721" s="4">
        <f>TRIM(Raw_Data!J721)</f>
        <v/>
      </c>
      <c r="K721" s="4">
        <f>Raw_Data!K721</f>
        <v/>
      </c>
      <c r="L721" s="4">
        <f>IF(TRIM(Raw_Data!L721)="","No Coupon",TRIM(Raw_Data!L721))</f>
        <v/>
      </c>
      <c r="M721" s="4">
        <f>PROPER(TRIM(Raw_Data!M721))</f>
        <v/>
      </c>
      <c r="N721" s="6">
        <f>ROUND(Raw_Data!N721,2)</f>
        <v/>
      </c>
      <c r="O721" s="7">
        <f>IF(COUNTIF($A$2:$A$1201,A721)&gt;1,"DUPLICATE","Unique")</f>
        <v/>
      </c>
      <c r="P721" s="7">
        <f>IF(COUNTIF($J$2:$J$1201,J721)&gt;1,"DUPLICATE","Unique")</f>
        <v/>
      </c>
      <c r="Q721" s="4">
        <f>IF(TRIM(Raw_Data!L721)="","Yes","No")</f>
        <v/>
      </c>
      <c r="R721" s="4">
        <f>IF(ISNUMBER(B721),"Valid","INVALID")</f>
        <v/>
      </c>
    </row>
    <row r="722">
      <c r="A722" s="4">
        <f>TRIM(Raw_Data!A722)</f>
        <v/>
      </c>
      <c r="B722" s="5">
        <f>Raw_Data!B722</f>
        <v/>
      </c>
      <c r="C722" s="4">
        <f>TRIM(Raw_Data!C722)</f>
        <v/>
      </c>
      <c r="D722" s="4">
        <f>PROPER(TRIM(Raw_Data!D722))</f>
        <v/>
      </c>
      <c r="E722" s="4">
        <f>Raw_Data!E722</f>
        <v/>
      </c>
      <c r="F722" s="6">
        <f>ROUND(Raw_Data!F722,2)</f>
        <v/>
      </c>
      <c r="G722" s="4">
        <f>PROPER(TRIM(Raw_Data!G722))</f>
        <v/>
      </c>
      <c r="H722" s="4">
        <f>PROPER(TRIM(Raw_Data!H722))</f>
        <v/>
      </c>
      <c r="I722" s="4">
        <f>PROPER(TRIM(Raw_Data!I722))</f>
        <v/>
      </c>
      <c r="J722" s="4">
        <f>TRIM(Raw_Data!J722)</f>
        <v/>
      </c>
      <c r="K722" s="4">
        <f>Raw_Data!K722</f>
        <v/>
      </c>
      <c r="L722" s="4">
        <f>IF(TRIM(Raw_Data!L722)="","No Coupon",TRIM(Raw_Data!L722))</f>
        <v/>
      </c>
      <c r="M722" s="4">
        <f>PROPER(TRIM(Raw_Data!M722))</f>
        <v/>
      </c>
      <c r="N722" s="6">
        <f>ROUND(Raw_Data!N722,2)</f>
        <v/>
      </c>
      <c r="O722" s="7">
        <f>IF(COUNTIF($A$2:$A$1201,A722)&gt;1,"DUPLICATE","Unique")</f>
        <v/>
      </c>
      <c r="P722" s="7">
        <f>IF(COUNTIF($J$2:$J$1201,J722)&gt;1,"DUPLICATE","Unique")</f>
        <v/>
      </c>
      <c r="Q722" s="4">
        <f>IF(TRIM(Raw_Data!L722)="","Yes","No")</f>
        <v/>
      </c>
      <c r="R722" s="4">
        <f>IF(ISNUMBER(B722),"Valid","INVALID")</f>
        <v/>
      </c>
    </row>
    <row r="723">
      <c r="A723" s="4">
        <f>TRIM(Raw_Data!A723)</f>
        <v/>
      </c>
      <c r="B723" s="5">
        <f>Raw_Data!B723</f>
        <v/>
      </c>
      <c r="C723" s="4">
        <f>TRIM(Raw_Data!C723)</f>
        <v/>
      </c>
      <c r="D723" s="4">
        <f>PROPER(TRIM(Raw_Data!D723))</f>
        <v/>
      </c>
      <c r="E723" s="4">
        <f>Raw_Data!E723</f>
        <v/>
      </c>
      <c r="F723" s="6">
        <f>ROUND(Raw_Data!F723,2)</f>
        <v/>
      </c>
      <c r="G723" s="4">
        <f>PROPER(TRIM(Raw_Data!G723))</f>
        <v/>
      </c>
      <c r="H723" s="4">
        <f>PROPER(TRIM(Raw_Data!H723))</f>
        <v/>
      </c>
      <c r="I723" s="4">
        <f>PROPER(TRIM(Raw_Data!I723))</f>
        <v/>
      </c>
      <c r="J723" s="4">
        <f>TRIM(Raw_Data!J723)</f>
        <v/>
      </c>
      <c r="K723" s="4">
        <f>Raw_Data!K723</f>
        <v/>
      </c>
      <c r="L723" s="4">
        <f>IF(TRIM(Raw_Data!L723)="","No Coupon",TRIM(Raw_Data!L723))</f>
        <v/>
      </c>
      <c r="M723" s="4">
        <f>PROPER(TRIM(Raw_Data!M723))</f>
        <v/>
      </c>
      <c r="N723" s="6">
        <f>ROUND(Raw_Data!N723,2)</f>
        <v/>
      </c>
      <c r="O723" s="7">
        <f>IF(COUNTIF($A$2:$A$1201,A723)&gt;1,"DUPLICATE","Unique")</f>
        <v/>
      </c>
      <c r="P723" s="7">
        <f>IF(COUNTIF($J$2:$J$1201,J723)&gt;1,"DUPLICATE","Unique")</f>
        <v/>
      </c>
      <c r="Q723" s="4">
        <f>IF(TRIM(Raw_Data!L723)="","Yes","No")</f>
        <v/>
      </c>
      <c r="R723" s="4">
        <f>IF(ISNUMBER(B723),"Valid","INVALID")</f>
        <v/>
      </c>
    </row>
    <row r="724">
      <c r="A724" s="4">
        <f>TRIM(Raw_Data!A724)</f>
        <v/>
      </c>
      <c r="B724" s="5">
        <f>Raw_Data!B724</f>
        <v/>
      </c>
      <c r="C724" s="4">
        <f>TRIM(Raw_Data!C724)</f>
        <v/>
      </c>
      <c r="D724" s="4">
        <f>PROPER(TRIM(Raw_Data!D724))</f>
        <v/>
      </c>
      <c r="E724" s="4">
        <f>Raw_Data!E724</f>
        <v/>
      </c>
      <c r="F724" s="6">
        <f>ROUND(Raw_Data!F724,2)</f>
        <v/>
      </c>
      <c r="G724" s="4">
        <f>PROPER(TRIM(Raw_Data!G724))</f>
        <v/>
      </c>
      <c r="H724" s="4">
        <f>PROPER(TRIM(Raw_Data!H724))</f>
        <v/>
      </c>
      <c r="I724" s="4">
        <f>PROPER(TRIM(Raw_Data!I724))</f>
        <v/>
      </c>
      <c r="J724" s="4">
        <f>TRIM(Raw_Data!J724)</f>
        <v/>
      </c>
      <c r="K724" s="4">
        <f>Raw_Data!K724</f>
        <v/>
      </c>
      <c r="L724" s="4">
        <f>IF(TRIM(Raw_Data!L724)="","No Coupon",TRIM(Raw_Data!L724))</f>
        <v/>
      </c>
      <c r="M724" s="4">
        <f>PROPER(TRIM(Raw_Data!M724))</f>
        <v/>
      </c>
      <c r="N724" s="6">
        <f>ROUND(Raw_Data!N724,2)</f>
        <v/>
      </c>
      <c r="O724" s="7">
        <f>IF(COUNTIF($A$2:$A$1201,A724)&gt;1,"DUPLICATE","Unique")</f>
        <v/>
      </c>
      <c r="P724" s="7">
        <f>IF(COUNTIF($J$2:$J$1201,J724)&gt;1,"DUPLICATE","Unique")</f>
        <v/>
      </c>
      <c r="Q724" s="4">
        <f>IF(TRIM(Raw_Data!L724)="","Yes","No")</f>
        <v/>
      </c>
      <c r="R724" s="4">
        <f>IF(ISNUMBER(B724),"Valid","INVALID")</f>
        <v/>
      </c>
    </row>
    <row r="725">
      <c r="A725" s="4">
        <f>TRIM(Raw_Data!A725)</f>
        <v/>
      </c>
      <c r="B725" s="5">
        <f>Raw_Data!B725</f>
        <v/>
      </c>
      <c r="C725" s="4">
        <f>TRIM(Raw_Data!C725)</f>
        <v/>
      </c>
      <c r="D725" s="4">
        <f>PROPER(TRIM(Raw_Data!D725))</f>
        <v/>
      </c>
      <c r="E725" s="4">
        <f>Raw_Data!E725</f>
        <v/>
      </c>
      <c r="F725" s="6">
        <f>ROUND(Raw_Data!F725,2)</f>
        <v/>
      </c>
      <c r="G725" s="4">
        <f>PROPER(TRIM(Raw_Data!G725))</f>
        <v/>
      </c>
      <c r="H725" s="4">
        <f>PROPER(TRIM(Raw_Data!H725))</f>
        <v/>
      </c>
      <c r="I725" s="4">
        <f>PROPER(TRIM(Raw_Data!I725))</f>
        <v/>
      </c>
      <c r="J725" s="4">
        <f>TRIM(Raw_Data!J725)</f>
        <v/>
      </c>
      <c r="K725" s="4">
        <f>Raw_Data!K725</f>
        <v/>
      </c>
      <c r="L725" s="4">
        <f>IF(TRIM(Raw_Data!L725)="","No Coupon",TRIM(Raw_Data!L725))</f>
        <v/>
      </c>
      <c r="M725" s="4">
        <f>PROPER(TRIM(Raw_Data!M725))</f>
        <v/>
      </c>
      <c r="N725" s="6">
        <f>ROUND(Raw_Data!N725,2)</f>
        <v/>
      </c>
      <c r="O725" s="7">
        <f>IF(COUNTIF($A$2:$A$1201,A725)&gt;1,"DUPLICATE","Unique")</f>
        <v/>
      </c>
      <c r="P725" s="7">
        <f>IF(COUNTIF($J$2:$J$1201,J725)&gt;1,"DUPLICATE","Unique")</f>
        <v/>
      </c>
      <c r="Q725" s="4">
        <f>IF(TRIM(Raw_Data!L725)="","Yes","No")</f>
        <v/>
      </c>
      <c r="R725" s="4">
        <f>IF(ISNUMBER(B725),"Valid","INVALID")</f>
        <v/>
      </c>
    </row>
    <row r="726">
      <c r="A726" s="4">
        <f>TRIM(Raw_Data!A726)</f>
        <v/>
      </c>
      <c r="B726" s="5">
        <f>Raw_Data!B726</f>
        <v/>
      </c>
      <c r="C726" s="4">
        <f>TRIM(Raw_Data!C726)</f>
        <v/>
      </c>
      <c r="D726" s="4">
        <f>PROPER(TRIM(Raw_Data!D726))</f>
        <v/>
      </c>
      <c r="E726" s="4">
        <f>Raw_Data!E726</f>
        <v/>
      </c>
      <c r="F726" s="6">
        <f>ROUND(Raw_Data!F726,2)</f>
        <v/>
      </c>
      <c r="G726" s="4">
        <f>PROPER(TRIM(Raw_Data!G726))</f>
        <v/>
      </c>
      <c r="H726" s="4">
        <f>PROPER(TRIM(Raw_Data!H726))</f>
        <v/>
      </c>
      <c r="I726" s="4">
        <f>PROPER(TRIM(Raw_Data!I726))</f>
        <v/>
      </c>
      <c r="J726" s="4">
        <f>TRIM(Raw_Data!J726)</f>
        <v/>
      </c>
      <c r="K726" s="4">
        <f>Raw_Data!K726</f>
        <v/>
      </c>
      <c r="L726" s="4">
        <f>IF(TRIM(Raw_Data!L726)="","No Coupon",TRIM(Raw_Data!L726))</f>
        <v/>
      </c>
      <c r="M726" s="4">
        <f>PROPER(TRIM(Raw_Data!M726))</f>
        <v/>
      </c>
      <c r="N726" s="6">
        <f>ROUND(Raw_Data!N726,2)</f>
        <v/>
      </c>
      <c r="O726" s="7">
        <f>IF(COUNTIF($A$2:$A$1201,A726)&gt;1,"DUPLICATE","Unique")</f>
        <v/>
      </c>
      <c r="P726" s="7">
        <f>IF(COUNTIF($J$2:$J$1201,J726)&gt;1,"DUPLICATE","Unique")</f>
        <v/>
      </c>
      <c r="Q726" s="4">
        <f>IF(TRIM(Raw_Data!L726)="","Yes","No")</f>
        <v/>
      </c>
      <c r="R726" s="4">
        <f>IF(ISNUMBER(B726),"Valid","INVALID")</f>
        <v/>
      </c>
    </row>
    <row r="727">
      <c r="A727" s="4">
        <f>TRIM(Raw_Data!A727)</f>
        <v/>
      </c>
      <c r="B727" s="5">
        <f>Raw_Data!B727</f>
        <v/>
      </c>
      <c r="C727" s="4">
        <f>TRIM(Raw_Data!C727)</f>
        <v/>
      </c>
      <c r="D727" s="4">
        <f>PROPER(TRIM(Raw_Data!D727))</f>
        <v/>
      </c>
      <c r="E727" s="4">
        <f>Raw_Data!E727</f>
        <v/>
      </c>
      <c r="F727" s="6">
        <f>ROUND(Raw_Data!F727,2)</f>
        <v/>
      </c>
      <c r="G727" s="4">
        <f>PROPER(TRIM(Raw_Data!G727))</f>
        <v/>
      </c>
      <c r="H727" s="4">
        <f>PROPER(TRIM(Raw_Data!H727))</f>
        <v/>
      </c>
      <c r="I727" s="4">
        <f>PROPER(TRIM(Raw_Data!I727))</f>
        <v/>
      </c>
      <c r="J727" s="4">
        <f>TRIM(Raw_Data!J727)</f>
        <v/>
      </c>
      <c r="K727" s="4">
        <f>Raw_Data!K727</f>
        <v/>
      </c>
      <c r="L727" s="4">
        <f>IF(TRIM(Raw_Data!L727)="","No Coupon",TRIM(Raw_Data!L727))</f>
        <v/>
      </c>
      <c r="M727" s="4">
        <f>PROPER(TRIM(Raw_Data!M727))</f>
        <v/>
      </c>
      <c r="N727" s="6">
        <f>ROUND(Raw_Data!N727,2)</f>
        <v/>
      </c>
      <c r="O727" s="7">
        <f>IF(COUNTIF($A$2:$A$1201,A727)&gt;1,"DUPLICATE","Unique")</f>
        <v/>
      </c>
      <c r="P727" s="7">
        <f>IF(COUNTIF($J$2:$J$1201,J727)&gt;1,"DUPLICATE","Unique")</f>
        <v/>
      </c>
      <c r="Q727" s="4">
        <f>IF(TRIM(Raw_Data!L727)="","Yes","No")</f>
        <v/>
      </c>
      <c r="R727" s="4">
        <f>IF(ISNUMBER(B727),"Valid","INVALID")</f>
        <v/>
      </c>
    </row>
    <row r="728">
      <c r="A728" s="4">
        <f>TRIM(Raw_Data!A728)</f>
        <v/>
      </c>
      <c r="B728" s="5">
        <f>Raw_Data!B728</f>
        <v/>
      </c>
      <c r="C728" s="4">
        <f>TRIM(Raw_Data!C728)</f>
        <v/>
      </c>
      <c r="D728" s="4">
        <f>PROPER(TRIM(Raw_Data!D728))</f>
        <v/>
      </c>
      <c r="E728" s="4">
        <f>Raw_Data!E728</f>
        <v/>
      </c>
      <c r="F728" s="6">
        <f>ROUND(Raw_Data!F728,2)</f>
        <v/>
      </c>
      <c r="G728" s="4">
        <f>PROPER(TRIM(Raw_Data!G728))</f>
        <v/>
      </c>
      <c r="H728" s="4">
        <f>PROPER(TRIM(Raw_Data!H728))</f>
        <v/>
      </c>
      <c r="I728" s="4">
        <f>PROPER(TRIM(Raw_Data!I728))</f>
        <v/>
      </c>
      <c r="J728" s="4">
        <f>TRIM(Raw_Data!J728)</f>
        <v/>
      </c>
      <c r="K728" s="4">
        <f>Raw_Data!K728</f>
        <v/>
      </c>
      <c r="L728" s="4">
        <f>IF(TRIM(Raw_Data!L728)="","No Coupon",TRIM(Raw_Data!L728))</f>
        <v/>
      </c>
      <c r="M728" s="4">
        <f>PROPER(TRIM(Raw_Data!M728))</f>
        <v/>
      </c>
      <c r="N728" s="6">
        <f>ROUND(Raw_Data!N728,2)</f>
        <v/>
      </c>
      <c r="O728" s="7">
        <f>IF(COUNTIF($A$2:$A$1201,A728)&gt;1,"DUPLICATE","Unique")</f>
        <v/>
      </c>
      <c r="P728" s="7">
        <f>IF(COUNTIF($J$2:$J$1201,J728)&gt;1,"DUPLICATE","Unique")</f>
        <v/>
      </c>
      <c r="Q728" s="4">
        <f>IF(TRIM(Raw_Data!L728)="","Yes","No")</f>
        <v/>
      </c>
      <c r="R728" s="4">
        <f>IF(ISNUMBER(B728),"Valid","INVALID")</f>
        <v/>
      </c>
    </row>
    <row r="729">
      <c r="A729" s="4">
        <f>TRIM(Raw_Data!A729)</f>
        <v/>
      </c>
      <c r="B729" s="5">
        <f>Raw_Data!B729</f>
        <v/>
      </c>
      <c r="C729" s="4">
        <f>TRIM(Raw_Data!C729)</f>
        <v/>
      </c>
      <c r="D729" s="4">
        <f>PROPER(TRIM(Raw_Data!D729))</f>
        <v/>
      </c>
      <c r="E729" s="4">
        <f>Raw_Data!E729</f>
        <v/>
      </c>
      <c r="F729" s="6">
        <f>ROUND(Raw_Data!F729,2)</f>
        <v/>
      </c>
      <c r="G729" s="4">
        <f>PROPER(TRIM(Raw_Data!G729))</f>
        <v/>
      </c>
      <c r="H729" s="4">
        <f>PROPER(TRIM(Raw_Data!H729))</f>
        <v/>
      </c>
      <c r="I729" s="4">
        <f>PROPER(TRIM(Raw_Data!I729))</f>
        <v/>
      </c>
      <c r="J729" s="4">
        <f>TRIM(Raw_Data!J729)</f>
        <v/>
      </c>
      <c r="K729" s="4">
        <f>Raw_Data!K729</f>
        <v/>
      </c>
      <c r="L729" s="4">
        <f>IF(TRIM(Raw_Data!L729)="","No Coupon",TRIM(Raw_Data!L729))</f>
        <v/>
      </c>
      <c r="M729" s="4">
        <f>PROPER(TRIM(Raw_Data!M729))</f>
        <v/>
      </c>
      <c r="N729" s="6">
        <f>ROUND(Raw_Data!N729,2)</f>
        <v/>
      </c>
      <c r="O729" s="7">
        <f>IF(COUNTIF($A$2:$A$1201,A729)&gt;1,"DUPLICATE","Unique")</f>
        <v/>
      </c>
      <c r="P729" s="7">
        <f>IF(COUNTIF($J$2:$J$1201,J729)&gt;1,"DUPLICATE","Unique")</f>
        <v/>
      </c>
      <c r="Q729" s="4">
        <f>IF(TRIM(Raw_Data!L729)="","Yes","No")</f>
        <v/>
      </c>
      <c r="R729" s="4">
        <f>IF(ISNUMBER(B729),"Valid","INVALID")</f>
        <v/>
      </c>
    </row>
    <row r="730">
      <c r="A730" s="4">
        <f>TRIM(Raw_Data!A730)</f>
        <v/>
      </c>
      <c r="B730" s="5">
        <f>Raw_Data!B730</f>
        <v/>
      </c>
      <c r="C730" s="4">
        <f>TRIM(Raw_Data!C730)</f>
        <v/>
      </c>
      <c r="D730" s="4">
        <f>PROPER(TRIM(Raw_Data!D730))</f>
        <v/>
      </c>
      <c r="E730" s="4">
        <f>Raw_Data!E730</f>
        <v/>
      </c>
      <c r="F730" s="6">
        <f>ROUND(Raw_Data!F730,2)</f>
        <v/>
      </c>
      <c r="G730" s="4">
        <f>PROPER(TRIM(Raw_Data!G730))</f>
        <v/>
      </c>
      <c r="H730" s="4">
        <f>PROPER(TRIM(Raw_Data!H730))</f>
        <v/>
      </c>
      <c r="I730" s="4">
        <f>PROPER(TRIM(Raw_Data!I730))</f>
        <v/>
      </c>
      <c r="J730" s="4">
        <f>TRIM(Raw_Data!J730)</f>
        <v/>
      </c>
      <c r="K730" s="4">
        <f>Raw_Data!K730</f>
        <v/>
      </c>
      <c r="L730" s="4">
        <f>IF(TRIM(Raw_Data!L730)="","No Coupon",TRIM(Raw_Data!L730))</f>
        <v/>
      </c>
      <c r="M730" s="4">
        <f>PROPER(TRIM(Raw_Data!M730))</f>
        <v/>
      </c>
      <c r="N730" s="6">
        <f>ROUND(Raw_Data!N730,2)</f>
        <v/>
      </c>
      <c r="O730" s="7">
        <f>IF(COUNTIF($A$2:$A$1201,A730)&gt;1,"DUPLICATE","Unique")</f>
        <v/>
      </c>
      <c r="P730" s="7">
        <f>IF(COUNTIF($J$2:$J$1201,J730)&gt;1,"DUPLICATE","Unique")</f>
        <v/>
      </c>
      <c r="Q730" s="4">
        <f>IF(TRIM(Raw_Data!L730)="","Yes","No")</f>
        <v/>
      </c>
      <c r="R730" s="4">
        <f>IF(ISNUMBER(B730),"Valid","INVALID")</f>
        <v/>
      </c>
    </row>
    <row r="731">
      <c r="A731" s="4">
        <f>TRIM(Raw_Data!A731)</f>
        <v/>
      </c>
      <c r="B731" s="5">
        <f>Raw_Data!B731</f>
        <v/>
      </c>
      <c r="C731" s="4">
        <f>TRIM(Raw_Data!C731)</f>
        <v/>
      </c>
      <c r="D731" s="4">
        <f>PROPER(TRIM(Raw_Data!D731))</f>
        <v/>
      </c>
      <c r="E731" s="4">
        <f>Raw_Data!E731</f>
        <v/>
      </c>
      <c r="F731" s="6">
        <f>ROUND(Raw_Data!F731,2)</f>
        <v/>
      </c>
      <c r="G731" s="4">
        <f>PROPER(TRIM(Raw_Data!G731))</f>
        <v/>
      </c>
      <c r="H731" s="4">
        <f>PROPER(TRIM(Raw_Data!H731))</f>
        <v/>
      </c>
      <c r="I731" s="4">
        <f>PROPER(TRIM(Raw_Data!I731))</f>
        <v/>
      </c>
      <c r="J731" s="4">
        <f>TRIM(Raw_Data!J731)</f>
        <v/>
      </c>
      <c r="K731" s="4">
        <f>Raw_Data!K731</f>
        <v/>
      </c>
      <c r="L731" s="4">
        <f>IF(TRIM(Raw_Data!L731)="","No Coupon",TRIM(Raw_Data!L731))</f>
        <v/>
      </c>
      <c r="M731" s="4">
        <f>PROPER(TRIM(Raw_Data!M731))</f>
        <v/>
      </c>
      <c r="N731" s="6">
        <f>ROUND(Raw_Data!N731,2)</f>
        <v/>
      </c>
      <c r="O731" s="7">
        <f>IF(COUNTIF($A$2:$A$1201,A731)&gt;1,"DUPLICATE","Unique")</f>
        <v/>
      </c>
      <c r="P731" s="7">
        <f>IF(COUNTIF($J$2:$J$1201,J731)&gt;1,"DUPLICATE","Unique")</f>
        <v/>
      </c>
      <c r="Q731" s="4">
        <f>IF(TRIM(Raw_Data!L731)="","Yes","No")</f>
        <v/>
      </c>
      <c r="R731" s="4">
        <f>IF(ISNUMBER(B731),"Valid","INVALID")</f>
        <v/>
      </c>
    </row>
    <row r="732">
      <c r="A732" s="4">
        <f>TRIM(Raw_Data!A732)</f>
        <v/>
      </c>
      <c r="B732" s="5">
        <f>Raw_Data!B732</f>
        <v/>
      </c>
      <c r="C732" s="4">
        <f>TRIM(Raw_Data!C732)</f>
        <v/>
      </c>
      <c r="D732" s="4">
        <f>PROPER(TRIM(Raw_Data!D732))</f>
        <v/>
      </c>
      <c r="E732" s="4">
        <f>Raw_Data!E732</f>
        <v/>
      </c>
      <c r="F732" s="6">
        <f>ROUND(Raw_Data!F732,2)</f>
        <v/>
      </c>
      <c r="G732" s="4">
        <f>PROPER(TRIM(Raw_Data!G732))</f>
        <v/>
      </c>
      <c r="H732" s="4">
        <f>PROPER(TRIM(Raw_Data!H732))</f>
        <v/>
      </c>
      <c r="I732" s="4">
        <f>PROPER(TRIM(Raw_Data!I732))</f>
        <v/>
      </c>
      <c r="J732" s="4">
        <f>TRIM(Raw_Data!J732)</f>
        <v/>
      </c>
      <c r="K732" s="4">
        <f>Raw_Data!K732</f>
        <v/>
      </c>
      <c r="L732" s="4">
        <f>IF(TRIM(Raw_Data!L732)="","No Coupon",TRIM(Raw_Data!L732))</f>
        <v/>
      </c>
      <c r="M732" s="4">
        <f>PROPER(TRIM(Raw_Data!M732))</f>
        <v/>
      </c>
      <c r="N732" s="6">
        <f>ROUND(Raw_Data!N732,2)</f>
        <v/>
      </c>
      <c r="O732" s="7">
        <f>IF(COUNTIF($A$2:$A$1201,A732)&gt;1,"DUPLICATE","Unique")</f>
        <v/>
      </c>
      <c r="P732" s="7">
        <f>IF(COUNTIF($J$2:$J$1201,J732)&gt;1,"DUPLICATE","Unique")</f>
        <v/>
      </c>
      <c r="Q732" s="4">
        <f>IF(TRIM(Raw_Data!L732)="","Yes","No")</f>
        <v/>
      </c>
      <c r="R732" s="4">
        <f>IF(ISNUMBER(B732),"Valid","INVALID")</f>
        <v/>
      </c>
    </row>
    <row r="733">
      <c r="A733" s="4">
        <f>TRIM(Raw_Data!A733)</f>
        <v/>
      </c>
      <c r="B733" s="5">
        <f>Raw_Data!B733</f>
        <v/>
      </c>
      <c r="C733" s="4">
        <f>TRIM(Raw_Data!C733)</f>
        <v/>
      </c>
      <c r="D733" s="4">
        <f>PROPER(TRIM(Raw_Data!D733))</f>
        <v/>
      </c>
      <c r="E733" s="4">
        <f>Raw_Data!E733</f>
        <v/>
      </c>
      <c r="F733" s="6">
        <f>ROUND(Raw_Data!F733,2)</f>
        <v/>
      </c>
      <c r="G733" s="4">
        <f>PROPER(TRIM(Raw_Data!G733))</f>
        <v/>
      </c>
      <c r="H733" s="4">
        <f>PROPER(TRIM(Raw_Data!H733))</f>
        <v/>
      </c>
      <c r="I733" s="4">
        <f>PROPER(TRIM(Raw_Data!I733))</f>
        <v/>
      </c>
      <c r="J733" s="4">
        <f>TRIM(Raw_Data!J733)</f>
        <v/>
      </c>
      <c r="K733" s="4">
        <f>Raw_Data!K733</f>
        <v/>
      </c>
      <c r="L733" s="4">
        <f>IF(TRIM(Raw_Data!L733)="","No Coupon",TRIM(Raw_Data!L733))</f>
        <v/>
      </c>
      <c r="M733" s="4">
        <f>PROPER(TRIM(Raw_Data!M733))</f>
        <v/>
      </c>
      <c r="N733" s="6">
        <f>ROUND(Raw_Data!N733,2)</f>
        <v/>
      </c>
      <c r="O733" s="7">
        <f>IF(COUNTIF($A$2:$A$1201,A733)&gt;1,"DUPLICATE","Unique")</f>
        <v/>
      </c>
      <c r="P733" s="7">
        <f>IF(COUNTIF($J$2:$J$1201,J733)&gt;1,"DUPLICATE","Unique")</f>
        <v/>
      </c>
      <c r="Q733" s="4">
        <f>IF(TRIM(Raw_Data!L733)="","Yes","No")</f>
        <v/>
      </c>
      <c r="R733" s="4">
        <f>IF(ISNUMBER(B733),"Valid","INVALID")</f>
        <v/>
      </c>
    </row>
    <row r="734">
      <c r="A734" s="4">
        <f>TRIM(Raw_Data!A734)</f>
        <v/>
      </c>
      <c r="B734" s="5">
        <f>Raw_Data!B734</f>
        <v/>
      </c>
      <c r="C734" s="4">
        <f>TRIM(Raw_Data!C734)</f>
        <v/>
      </c>
      <c r="D734" s="4">
        <f>PROPER(TRIM(Raw_Data!D734))</f>
        <v/>
      </c>
      <c r="E734" s="4">
        <f>Raw_Data!E734</f>
        <v/>
      </c>
      <c r="F734" s="6">
        <f>ROUND(Raw_Data!F734,2)</f>
        <v/>
      </c>
      <c r="G734" s="4">
        <f>PROPER(TRIM(Raw_Data!G734))</f>
        <v/>
      </c>
      <c r="H734" s="4">
        <f>PROPER(TRIM(Raw_Data!H734))</f>
        <v/>
      </c>
      <c r="I734" s="4">
        <f>PROPER(TRIM(Raw_Data!I734))</f>
        <v/>
      </c>
      <c r="J734" s="4">
        <f>TRIM(Raw_Data!J734)</f>
        <v/>
      </c>
      <c r="K734" s="4">
        <f>Raw_Data!K734</f>
        <v/>
      </c>
      <c r="L734" s="4">
        <f>IF(TRIM(Raw_Data!L734)="","No Coupon",TRIM(Raw_Data!L734))</f>
        <v/>
      </c>
      <c r="M734" s="4">
        <f>PROPER(TRIM(Raw_Data!M734))</f>
        <v/>
      </c>
      <c r="N734" s="6">
        <f>ROUND(Raw_Data!N734,2)</f>
        <v/>
      </c>
      <c r="O734" s="7">
        <f>IF(COUNTIF($A$2:$A$1201,A734)&gt;1,"DUPLICATE","Unique")</f>
        <v/>
      </c>
      <c r="P734" s="7">
        <f>IF(COUNTIF($J$2:$J$1201,J734)&gt;1,"DUPLICATE","Unique")</f>
        <v/>
      </c>
      <c r="Q734" s="4">
        <f>IF(TRIM(Raw_Data!L734)="","Yes","No")</f>
        <v/>
      </c>
      <c r="R734" s="4">
        <f>IF(ISNUMBER(B734),"Valid","INVALID")</f>
        <v/>
      </c>
    </row>
    <row r="735">
      <c r="A735" s="4">
        <f>TRIM(Raw_Data!A735)</f>
        <v/>
      </c>
      <c r="B735" s="5">
        <f>Raw_Data!B735</f>
        <v/>
      </c>
      <c r="C735" s="4">
        <f>TRIM(Raw_Data!C735)</f>
        <v/>
      </c>
      <c r="D735" s="4">
        <f>PROPER(TRIM(Raw_Data!D735))</f>
        <v/>
      </c>
      <c r="E735" s="4">
        <f>Raw_Data!E735</f>
        <v/>
      </c>
      <c r="F735" s="6">
        <f>ROUND(Raw_Data!F735,2)</f>
        <v/>
      </c>
      <c r="G735" s="4">
        <f>PROPER(TRIM(Raw_Data!G735))</f>
        <v/>
      </c>
      <c r="H735" s="4">
        <f>PROPER(TRIM(Raw_Data!H735))</f>
        <v/>
      </c>
      <c r="I735" s="4">
        <f>PROPER(TRIM(Raw_Data!I735))</f>
        <v/>
      </c>
      <c r="J735" s="4">
        <f>TRIM(Raw_Data!J735)</f>
        <v/>
      </c>
      <c r="K735" s="4">
        <f>Raw_Data!K735</f>
        <v/>
      </c>
      <c r="L735" s="4">
        <f>IF(TRIM(Raw_Data!L735)="","No Coupon",TRIM(Raw_Data!L735))</f>
        <v/>
      </c>
      <c r="M735" s="4">
        <f>PROPER(TRIM(Raw_Data!M735))</f>
        <v/>
      </c>
      <c r="N735" s="6">
        <f>ROUND(Raw_Data!N735,2)</f>
        <v/>
      </c>
      <c r="O735" s="7">
        <f>IF(COUNTIF($A$2:$A$1201,A735)&gt;1,"DUPLICATE","Unique")</f>
        <v/>
      </c>
      <c r="P735" s="7">
        <f>IF(COUNTIF($J$2:$J$1201,J735)&gt;1,"DUPLICATE","Unique")</f>
        <v/>
      </c>
      <c r="Q735" s="4">
        <f>IF(TRIM(Raw_Data!L735)="","Yes","No")</f>
        <v/>
      </c>
      <c r="R735" s="4">
        <f>IF(ISNUMBER(B735),"Valid","INVALID")</f>
        <v/>
      </c>
    </row>
    <row r="736">
      <c r="A736" s="4">
        <f>TRIM(Raw_Data!A736)</f>
        <v/>
      </c>
      <c r="B736" s="5">
        <f>Raw_Data!B736</f>
        <v/>
      </c>
      <c r="C736" s="4">
        <f>TRIM(Raw_Data!C736)</f>
        <v/>
      </c>
      <c r="D736" s="4">
        <f>PROPER(TRIM(Raw_Data!D736))</f>
        <v/>
      </c>
      <c r="E736" s="4">
        <f>Raw_Data!E736</f>
        <v/>
      </c>
      <c r="F736" s="6">
        <f>ROUND(Raw_Data!F736,2)</f>
        <v/>
      </c>
      <c r="G736" s="4">
        <f>PROPER(TRIM(Raw_Data!G736))</f>
        <v/>
      </c>
      <c r="H736" s="4">
        <f>PROPER(TRIM(Raw_Data!H736))</f>
        <v/>
      </c>
      <c r="I736" s="4">
        <f>PROPER(TRIM(Raw_Data!I736))</f>
        <v/>
      </c>
      <c r="J736" s="4">
        <f>TRIM(Raw_Data!J736)</f>
        <v/>
      </c>
      <c r="K736" s="4">
        <f>Raw_Data!K736</f>
        <v/>
      </c>
      <c r="L736" s="4">
        <f>IF(TRIM(Raw_Data!L736)="","No Coupon",TRIM(Raw_Data!L736))</f>
        <v/>
      </c>
      <c r="M736" s="4">
        <f>PROPER(TRIM(Raw_Data!M736))</f>
        <v/>
      </c>
      <c r="N736" s="6">
        <f>ROUND(Raw_Data!N736,2)</f>
        <v/>
      </c>
      <c r="O736" s="7">
        <f>IF(COUNTIF($A$2:$A$1201,A736)&gt;1,"DUPLICATE","Unique")</f>
        <v/>
      </c>
      <c r="P736" s="7">
        <f>IF(COUNTIF($J$2:$J$1201,J736)&gt;1,"DUPLICATE","Unique")</f>
        <v/>
      </c>
      <c r="Q736" s="4">
        <f>IF(TRIM(Raw_Data!L736)="","Yes","No")</f>
        <v/>
      </c>
      <c r="R736" s="4">
        <f>IF(ISNUMBER(B736),"Valid","INVALID")</f>
        <v/>
      </c>
    </row>
    <row r="737">
      <c r="A737" s="4">
        <f>TRIM(Raw_Data!A737)</f>
        <v/>
      </c>
      <c r="B737" s="5">
        <f>Raw_Data!B737</f>
        <v/>
      </c>
      <c r="C737" s="4">
        <f>TRIM(Raw_Data!C737)</f>
        <v/>
      </c>
      <c r="D737" s="4">
        <f>PROPER(TRIM(Raw_Data!D737))</f>
        <v/>
      </c>
      <c r="E737" s="4">
        <f>Raw_Data!E737</f>
        <v/>
      </c>
      <c r="F737" s="6">
        <f>ROUND(Raw_Data!F737,2)</f>
        <v/>
      </c>
      <c r="G737" s="4">
        <f>PROPER(TRIM(Raw_Data!G737))</f>
        <v/>
      </c>
      <c r="H737" s="4">
        <f>PROPER(TRIM(Raw_Data!H737))</f>
        <v/>
      </c>
      <c r="I737" s="4">
        <f>PROPER(TRIM(Raw_Data!I737))</f>
        <v/>
      </c>
      <c r="J737" s="4">
        <f>TRIM(Raw_Data!J737)</f>
        <v/>
      </c>
      <c r="K737" s="4">
        <f>Raw_Data!K737</f>
        <v/>
      </c>
      <c r="L737" s="4">
        <f>IF(TRIM(Raw_Data!L737)="","No Coupon",TRIM(Raw_Data!L737))</f>
        <v/>
      </c>
      <c r="M737" s="4">
        <f>PROPER(TRIM(Raw_Data!M737))</f>
        <v/>
      </c>
      <c r="N737" s="6">
        <f>ROUND(Raw_Data!N737,2)</f>
        <v/>
      </c>
      <c r="O737" s="7">
        <f>IF(COUNTIF($A$2:$A$1201,A737)&gt;1,"DUPLICATE","Unique")</f>
        <v/>
      </c>
      <c r="P737" s="7">
        <f>IF(COUNTIF($J$2:$J$1201,J737)&gt;1,"DUPLICATE","Unique")</f>
        <v/>
      </c>
      <c r="Q737" s="4">
        <f>IF(TRIM(Raw_Data!L737)="","Yes","No")</f>
        <v/>
      </c>
      <c r="R737" s="4">
        <f>IF(ISNUMBER(B737),"Valid","INVALID")</f>
        <v/>
      </c>
    </row>
    <row r="738">
      <c r="A738" s="4">
        <f>TRIM(Raw_Data!A738)</f>
        <v/>
      </c>
      <c r="B738" s="5">
        <f>Raw_Data!B738</f>
        <v/>
      </c>
      <c r="C738" s="4">
        <f>TRIM(Raw_Data!C738)</f>
        <v/>
      </c>
      <c r="D738" s="4">
        <f>PROPER(TRIM(Raw_Data!D738))</f>
        <v/>
      </c>
      <c r="E738" s="4">
        <f>Raw_Data!E738</f>
        <v/>
      </c>
      <c r="F738" s="6">
        <f>ROUND(Raw_Data!F738,2)</f>
        <v/>
      </c>
      <c r="G738" s="4">
        <f>PROPER(TRIM(Raw_Data!G738))</f>
        <v/>
      </c>
      <c r="H738" s="4">
        <f>PROPER(TRIM(Raw_Data!H738))</f>
        <v/>
      </c>
      <c r="I738" s="4">
        <f>PROPER(TRIM(Raw_Data!I738))</f>
        <v/>
      </c>
      <c r="J738" s="4">
        <f>TRIM(Raw_Data!J738)</f>
        <v/>
      </c>
      <c r="K738" s="4">
        <f>Raw_Data!K738</f>
        <v/>
      </c>
      <c r="L738" s="4">
        <f>IF(TRIM(Raw_Data!L738)="","No Coupon",TRIM(Raw_Data!L738))</f>
        <v/>
      </c>
      <c r="M738" s="4">
        <f>PROPER(TRIM(Raw_Data!M738))</f>
        <v/>
      </c>
      <c r="N738" s="6">
        <f>ROUND(Raw_Data!N738,2)</f>
        <v/>
      </c>
      <c r="O738" s="7">
        <f>IF(COUNTIF($A$2:$A$1201,A738)&gt;1,"DUPLICATE","Unique")</f>
        <v/>
      </c>
      <c r="P738" s="7">
        <f>IF(COUNTIF($J$2:$J$1201,J738)&gt;1,"DUPLICATE","Unique")</f>
        <v/>
      </c>
      <c r="Q738" s="4">
        <f>IF(TRIM(Raw_Data!L738)="","Yes","No")</f>
        <v/>
      </c>
      <c r="R738" s="4">
        <f>IF(ISNUMBER(B738),"Valid","INVALID")</f>
        <v/>
      </c>
    </row>
    <row r="739">
      <c r="A739" s="4">
        <f>TRIM(Raw_Data!A739)</f>
        <v/>
      </c>
      <c r="B739" s="5">
        <f>Raw_Data!B739</f>
        <v/>
      </c>
      <c r="C739" s="4">
        <f>TRIM(Raw_Data!C739)</f>
        <v/>
      </c>
      <c r="D739" s="4">
        <f>PROPER(TRIM(Raw_Data!D739))</f>
        <v/>
      </c>
      <c r="E739" s="4">
        <f>Raw_Data!E739</f>
        <v/>
      </c>
      <c r="F739" s="6">
        <f>ROUND(Raw_Data!F739,2)</f>
        <v/>
      </c>
      <c r="G739" s="4">
        <f>PROPER(TRIM(Raw_Data!G739))</f>
        <v/>
      </c>
      <c r="H739" s="4">
        <f>PROPER(TRIM(Raw_Data!H739))</f>
        <v/>
      </c>
      <c r="I739" s="4">
        <f>PROPER(TRIM(Raw_Data!I739))</f>
        <v/>
      </c>
      <c r="J739" s="4">
        <f>TRIM(Raw_Data!J739)</f>
        <v/>
      </c>
      <c r="K739" s="4">
        <f>Raw_Data!K739</f>
        <v/>
      </c>
      <c r="L739" s="4">
        <f>IF(TRIM(Raw_Data!L739)="","No Coupon",TRIM(Raw_Data!L739))</f>
        <v/>
      </c>
      <c r="M739" s="4">
        <f>PROPER(TRIM(Raw_Data!M739))</f>
        <v/>
      </c>
      <c r="N739" s="6">
        <f>ROUND(Raw_Data!N739,2)</f>
        <v/>
      </c>
      <c r="O739" s="7">
        <f>IF(COUNTIF($A$2:$A$1201,A739)&gt;1,"DUPLICATE","Unique")</f>
        <v/>
      </c>
      <c r="P739" s="7">
        <f>IF(COUNTIF($J$2:$J$1201,J739)&gt;1,"DUPLICATE","Unique")</f>
        <v/>
      </c>
      <c r="Q739" s="4">
        <f>IF(TRIM(Raw_Data!L739)="","Yes","No")</f>
        <v/>
      </c>
      <c r="R739" s="4">
        <f>IF(ISNUMBER(B739),"Valid","INVALID")</f>
        <v/>
      </c>
    </row>
    <row r="740">
      <c r="A740" s="4">
        <f>TRIM(Raw_Data!A740)</f>
        <v/>
      </c>
      <c r="B740" s="5">
        <f>Raw_Data!B740</f>
        <v/>
      </c>
      <c r="C740" s="4">
        <f>TRIM(Raw_Data!C740)</f>
        <v/>
      </c>
      <c r="D740" s="4">
        <f>PROPER(TRIM(Raw_Data!D740))</f>
        <v/>
      </c>
      <c r="E740" s="4">
        <f>Raw_Data!E740</f>
        <v/>
      </c>
      <c r="F740" s="6">
        <f>ROUND(Raw_Data!F740,2)</f>
        <v/>
      </c>
      <c r="G740" s="4">
        <f>PROPER(TRIM(Raw_Data!G740))</f>
        <v/>
      </c>
      <c r="H740" s="4">
        <f>PROPER(TRIM(Raw_Data!H740))</f>
        <v/>
      </c>
      <c r="I740" s="4">
        <f>PROPER(TRIM(Raw_Data!I740))</f>
        <v/>
      </c>
      <c r="J740" s="4">
        <f>TRIM(Raw_Data!J740)</f>
        <v/>
      </c>
      <c r="K740" s="4">
        <f>Raw_Data!K740</f>
        <v/>
      </c>
      <c r="L740" s="4">
        <f>IF(TRIM(Raw_Data!L740)="","No Coupon",TRIM(Raw_Data!L740))</f>
        <v/>
      </c>
      <c r="M740" s="4">
        <f>PROPER(TRIM(Raw_Data!M740))</f>
        <v/>
      </c>
      <c r="N740" s="6">
        <f>ROUND(Raw_Data!N740,2)</f>
        <v/>
      </c>
      <c r="O740" s="7">
        <f>IF(COUNTIF($A$2:$A$1201,A740)&gt;1,"DUPLICATE","Unique")</f>
        <v/>
      </c>
      <c r="P740" s="7">
        <f>IF(COUNTIF($J$2:$J$1201,J740)&gt;1,"DUPLICATE","Unique")</f>
        <v/>
      </c>
      <c r="Q740" s="4">
        <f>IF(TRIM(Raw_Data!L740)="","Yes","No")</f>
        <v/>
      </c>
      <c r="R740" s="4">
        <f>IF(ISNUMBER(B740),"Valid","INVALID")</f>
        <v/>
      </c>
    </row>
    <row r="741">
      <c r="A741" s="4">
        <f>TRIM(Raw_Data!A741)</f>
        <v/>
      </c>
      <c r="B741" s="5">
        <f>Raw_Data!B741</f>
        <v/>
      </c>
      <c r="C741" s="4">
        <f>TRIM(Raw_Data!C741)</f>
        <v/>
      </c>
      <c r="D741" s="4">
        <f>PROPER(TRIM(Raw_Data!D741))</f>
        <v/>
      </c>
      <c r="E741" s="4">
        <f>Raw_Data!E741</f>
        <v/>
      </c>
      <c r="F741" s="6">
        <f>ROUND(Raw_Data!F741,2)</f>
        <v/>
      </c>
      <c r="G741" s="4">
        <f>PROPER(TRIM(Raw_Data!G741))</f>
        <v/>
      </c>
      <c r="H741" s="4">
        <f>PROPER(TRIM(Raw_Data!H741))</f>
        <v/>
      </c>
      <c r="I741" s="4">
        <f>PROPER(TRIM(Raw_Data!I741))</f>
        <v/>
      </c>
      <c r="J741" s="4">
        <f>TRIM(Raw_Data!J741)</f>
        <v/>
      </c>
      <c r="K741" s="4">
        <f>Raw_Data!K741</f>
        <v/>
      </c>
      <c r="L741" s="4">
        <f>IF(TRIM(Raw_Data!L741)="","No Coupon",TRIM(Raw_Data!L741))</f>
        <v/>
      </c>
      <c r="M741" s="4">
        <f>PROPER(TRIM(Raw_Data!M741))</f>
        <v/>
      </c>
      <c r="N741" s="6">
        <f>ROUND(Raw_Data!N741,2)</f>
        <v/>
      </c>
      <c r="O741" s="7">
        <f>IF(COUNTIF($A$2:$A$1201,A741)&gt;1,"DUPLICATE","Unique")</f>
        <v/>
      </c>
      <c r="P741" s="7">
        <f>IF(COUNTIF($J$2:$J$1201,J741)&gt;1,"DUPLICATE","Unique")</f>
        <v/>
      </c>
      <c r="Q741" s="4">
        <f>IF(TRIM(Raw_Data!L741)="","Yes","No")</f>
        <v/>
      </c>
      <c r="R741" s="4">
        <f>IF(ISNUMBER(B741),"Valid","INVALID")</f>
        <v/>
      </c>
    </row>
    <row r="742">
      <c r="A742" s="4">
        <f>TRIM(Raw_Data!A742)</f>
        <v/>
      </c>
      <c r="B742" s="5">
        <f>Raw_Data!B742</f>
        <v/>
      </c>
      <c r="C742" s="4">
        <f>TRIM(Raw_Data!C742)</f>
        <v/>
      </c>
      <c r="D742" s="4">
        <f>PROPER(TRIM(Raw_Data!D742))</f>
        <v/>
      </c>
      <c r="E742" s="4">
        <f>Raw_Data!E742</f>
        <v/>
      </c>
      <c r="F742" s="6">
        <f>ROUND(Raw_Data!F742,2)</f>
        <v/>
      </c>
      <c r="G742" s="4">
        <f>PROPER(TRIM(Raw_Data!G742))</f>
        <v/>
      </c>
      <c r="H742" s="4">
        <f>PROPER(TRIM(Raw_Data!H742))</f>
        <v/>
      </c>
      <c r="I742" s="4">
        <f>PROPER(TRIM(Raw_Data!I742))</f>
        <v/>
      </c>
      <c r="J742" s="4">
        <f>TRIM(Raw_Data!J742)</f>
        <v/>
      </c>
      <c r="K742" s="4">
        <f>Raw_Data!K742</f>
        <v/>
      </c>
      <c r="L742" s="4">
        <f>IF(TRIM(Raw_Data!L742)="","No Coupon",TRIM(Raw_Data!L742))</f>
        <v/>
      </c>
      <c r="M742" s="4">
        <f>PROPER(TRIM(Raw_Data!M742))</f>
        <v/>
      </c>
      <c r="N742" s="6">
        <f>ROUND(Raw_Data!N742,2)</f>
        <v/>
      </c>
      <c r="O742" s="7">
        <f>IF(COUNTIF($A$2:$A$1201,A742)&gt;1,"DUPLICATE","Unique")</f>
        <v/>
      </c>
      <c r="P742" s="7">
        <f>IF(COUNTIF($J$2:$J$1201,J742)&gt;1,"DUPLICATE","Unique")</f>
        <v/>
      </c>
      <c r="Q742" s="4">
        <f>IF(TRIM(Raw_Data!L742)="","Yes","No")</f>
        <v/>
      </c>
      <c r="R742" s="4">
        <f>IF(ISNUMBER(B742),"Valid","INVALID")</f>
        <v/>
      </c>
    </row>
    <row r="743">
      <c r="A743" s="4">
        <f>TRIM(Raw_Data!A743)</f>
        <v/>
      </c>
      <c r="B743" s="5">
        <f>Raw_Data!B743</f>
        <v/>
      </c>
      <c r="C743" s="4">
        <f>TRIM(Raw_Data!C743)</f>
        <v/>
      </c>
      <c r="D743" s="4">
        <f>PROPER(TRIM(Raw_Data!D743))</f>
        <v/>
      </c>
      <c r="E743" s="4">
        <f>Raw_Data!E743</f>
        <v/>
      </c>
      <c r="F743" s="6">
        <f>ROUND(Raw_Data!F743,2)</f>
        <v/>
      </c>
      <c r="G743" s="4">
        <f>PROPER(TRIM(Raw_Data!G743))</f>
        <v/>
      </c>
      <c r="H743" s="4">
        <f>PROPER(TRIM(Raw_Data!H743))</f>
        <v/>
      </c>
      <c r="I743" s="4">
        <f>PROPER(TRIM(Raw_Data!I743))</f>
        <v/>
      </c>
      <c r="J743" s="4">
        <f>TRIM(Raw_Data!J743)</f>
        <v/>
      </c>
      <c r="K743" s="4">
        <f>Raw_Data!K743</f>
        <v/>
      </c>
      <c r="L743" s="4">
        <f>IF(TRIM(Raw_Data!L743)="","No Coupon",TRIM(Raw_Data!L743))</f>
        <v/>
      </c>
      <c r="M743" s="4">
        <f>PROPER(TRIM(Raw_Data!M743))</f>
        <v/>
      </c>
      <c r="N743" s="6">
        <f>ROUND(Raw_Data!N743,2)</f>
        <v/>
      </c>
      <c r="O743" s="7">
        <f>IF(COUNTIF($A$2:$A$1201,A743)&gt;1,"DUPLICATE","Unique")</f>
        <v/>
      </c>
      <c r="P743" s="7">
        <f>IF(COUNTIF($J$2:$J$1201,J743)&gt;1,"DUPLICATE","Unique")</f>
        <v/>
      </c>
      <c r="Q743" s="4">
        <f>IF(TRIM(Raw_Data!L743)="","Yes","No")</f>
        <v/>
      </c>
      <c r="R743" s="4">
        <f>IF(ISNUMBER(B743),"Valid","INVALID")</f>
        <v/>
      </c>
    </row>
    <row r="744">
      <c r="A744" s="4">
        <f>TRIM(Raw_Data!A744)</f>
        <v/>
      </c>
      <c r="B744" s="5">
        <f>Raw_Data!B744</f>
        <v/>
      </c>
      <c r="C744" s="4">
        <f>TRIM(Raw_Data!C744)</f>
        <v/>
      </c>
      <c r="D744" s="4">
        <f>PROPER(TRIM(Raw_Data!D744))</f>
        <v/>
      </c>
      <c r="E744" s="4">
        <f>Raw_Data!E744</f>
        <v/>
      </c>
      <c r="F744" s="6">
        <f>ROUND(Raw_Data!F744,2)</f>
        <v/>
      </c>
      <c r="G744" s="4">
        <f>PROPER(TRIM(Raw_Data!G744))</f>
        <v/>
      </c>
      <c r="H744" s="4">
        <f>PROPER(TRIM(Raw_Data!H744))</f>
        <v/>
      </c>
      <c r="I744" s="4">
        <f>PROPER(TRIM(Raw_Data!I744))</f>
        <v/>
      </c>
      <c r="J744" s="4">
        <f>TRIM(Raw_Data!J744)</f>
        <v/>
      </c>
      <c r="K744" s="4">
        <f>Raw_Data!K744</f>
        <v/>
      </c>
      <c r="L744" s="4">
        <f>IF(TRIM(Raw_Data!L744)="","No Coupon",TRIM(Raw_Data!L744))</f>
        <v/>
      </c>
      <c r="M744" s="4">
        <f>PROPER(TRIM(Raw_Data!M744))</f>
        <v/>
      </c>
      <c r="N744" s="6">
        <f>ROUND(Raw_Data!N744,2)</f>
        <v/>
      </c>
      <c r="O744" s="7">
        <f>IF(COUNTIF($A$2:$A$1201,A744)&gt;1,"DUPLICATE","Unique")</f>
        <v/>
      </c>
      <c r="P744" s="7">
        <f>IF(COUNTIF($J$2:$J$1201,J744)&gt;1,"DUPLICATE","Unique")</f>
        <v/>
      </c>
      <c r="Q744" s="4">
        <f>IF(TRIM(Raw_Data!L744)="","Yes","No")</f>
        <v/>
      </c>
      <c r="R744" s="4">
        <f>IF(ISNUMBER(B744),"Valid","INVALID")</f>
        <v/>
      </c>
    </row>
    <row r="745">
      <c r="A745" s="4">
        <f>TRIM(Raw_Data!A745)</f>
        <v/>
      </c>
      <c r="B745" s="5">
        <f>Raw_Data!B745</f>
        <v/>
      </c>
      <c r="C745" s="4">
        <f>TRIM(Raw_Data!C745)</f>
        <v/>
      </c>
      <c r="D745" s="4">
        <f>PROPER(TRIM(Raw_Data!D745))</f>
        <v/>
      </c>
      <c r="E745" s="4">
        <f>Raw_Data!E745</f>
        <v/>
      </c>
      <c r="F745" s="6">
        <f>ROUND(Raw_Data!F745,2)</f>
        <v/>
      </c>
      <c r="G745" s="4">
        <f>PROPER(TRIM(Raw_Data!G745))</f>
        <v/>
      </c>
      <c r="H745" s="4">
        <f>PROPER(TRIM(Raw_Data!H745))</f>
        <v/>
      </c>
      <c r="I745" s="4">
        <f>PROPER(TRIM(Raw_Data!I745))</f>
        <v/>
      </c>
      <c r="J745" s="4">
        <f>TRIM(Raw_Data!J745)</f>
        <v/>
      </c>
      <c r="K745" s="4">
        <f>Raw_Data!K745</f>
        <v/>
      </c>
      <c r="L745" s="4">
        <f>IF(TRIM(Raw_Data!L745)="","No Coupon",TRIM(Raw_Data!L745))</f>
        <v/>
      </c>
      <c r="M745" s="4">
        <f>PROPER(TRIM(Raw_Data!M745))</f>
        <v/>
      </c>
      <c r="N745" s="6">
        <f>ROUND(Raw_Data!N745,2)</f>
        <v/>
      </c>
      <c r="O745" s="7">
        <f>IF(COUNTIF($A$2:$A$1201,A745)&gt;1,"DUPLICATE","Unique")</f>
        <v/>
      </c>
      <c r="P745" s="7">
        <f>IF(COUNTIF($J$2:$J$1201,J745)&gt;1,"DUPLICATE","Unique")</f>
        <v/>
      </c>
      <c r="Q745" s="4">
        <f>IF(TRIM(Raw_Data!L745)="","Yes","No")</f>
        <v/>
      </c>
      <c r="R745" s="4">
        <f>IF(ISNUMBER(B745),"Valid","INVALID")</f>
        <v/>
      </c>
    </row>
    <row r="746">
      <c r="A746" s="4">
        <f>TRIM(Raw_Data!A746)</f>
        <v/>
      </c>
      <c r="B746" s="5">
        <f>Raw_Data!B746</f>
        <v/>
      </c>
      <c r="C746" s="4">
        <f>TRIM(Raw_Data!C746)</f>
        <v/>
      </c>
      <c r="D746" s="4">
        <f>PROPER(TRIM(Raw_Data!D746))</f>
        <v/>
      </c>
      <c r="E746" s="4">
        <f>Raw_Data!E746</f>
        <v/>
      </c>
      <c r="F746" s="6">
        <f>ROUND(Raw_Data!F746,2)</f>
        <v/>
      </c>
      <c r="G746" s="4">
        <f>PROPER(TRIM(Raw_Data!G746))</f>
        <v/>
      </c>
      <c r="H746" s="4">
        <f>PROPER(TRIM(Raw_Data!H746))</f>
        <v/>
      </c>
      <c r="I746" s="4">
        <f>PROPER(TRIM(Raw_Data!I746))</f>
        <v/>
      </c>
      <c r="J746" s="4">
        <f>TRIM(Raw_Data!J746)</f>
        <v/>
      </c>
      <c r="K746" s="4">
        <f>Raw_Data!K746</f>
        <v/>
      </c>
      <c r="L746" s="4">
        <f>IF(TRIM(Raw_Data!L746)="","No Coupon",TRIM(Raw_Data!L746))</f>
        <v/>
      </c>
      <c r="M746" s="4">
        <f>PROPER(TRIM(Raw_Data!M746))</f>
        <v/>
      </c>
      <c r="N746" s="6">
        <f>ROUND(Raw_Data!N746,2)</f>
        <v/>
      </c>
      <c r="O746" s="7">
        <f>IF(COUNTIF($A$2:$A$1201,A746)&gt;1,"DUPLICATE","Unique")</f>
        <v/>
      </c>
      <c r="P746" s="7">
        <f>IF(COUNTIF($J$2:$J$1201,J746)&gt;1,"DUPLICATE","Unique")</f>
        <v/>
      </c>
      <c r="Q746" s="4">
        <f>IF(TRIM(Raw_Data!L746)="","Yes","No")</f>
        <v/>
      </c>
      <c r="R746" s="4">
        <f>IF(ISNUMBER(B746),"Valid","INVALID")</f>
        <v/>
      </c>
    </row>
    <row r="747">
      <c r="A747" s="4">
        <f>TRIM(Raw_Data!A747)</f>
        <v/>
      </c>
      <c r="B747" s="5">
        <f>Raw_Data!B747</f>
        <v/>
      </c>
      <c r="C747" s="4">
        <f>TRIM(Raw_Data!C747)</f>
        <v/>
      </c>
      <c r="D747" s="4">
        <f>PROPER(TRIM(Raw_Data!D747))</f>
        <v/>
      </c>
      <c r="E747" s="4">
        <f>Raw_Data!E747</f>
        <v/>
      </c>
      <c r="F747" s="6">
        <f>ROUND(Raw_Data!F747,2)</f>
        <v/>
      </c>
      <c r="G747" s="4">
        <f>PROPER(TRIM(Raw_Data!G747))</f>
        <v/>
      </c>
      <c r="H747" s="4">
        <f>PROPER(TRIM(Raw_Data!H747))</f>
        <v/>
      </c>
      <c r="I747" s="4">
        <f>PROPER(TRIM(Raw_Data!I747))</f>
        <v/>
      </c>
      <c r="J747" s="4">
        <f>TRIM(Raw_Data!J747)</f>
        <v/>
      </c>
      <c r="K747" s="4">
        <f>Raw_Data!K747</f>
        <v/>
      </c>
      <c r="L747" s="4">
        <f>IF(TRIM(Raw_Data!L747)="","No Coupon",TRIM(Raw_Data!L747))</f>
        <v/>
      </c>
      <c r="M747" s="4">
        <f>PROPER(TRIM(Raw_Data!M747))</f>
        <v/>
      </c>
      <c r="N747" s="6">
        <f>ROUND(Raw_Data!N747,2)</f>
        <v/>
      </c>
      <c r="O747" s="7">
        <f>IF(COUNTIF($A$2:$A$1201,A747)&gt;1,"DUPLICATE","Unique")</f>
        <v/>
      </c>
      <c r="P747" s="7">
        <f>IF(COUNTIF($J$2:$J$1201,J747)&gt;1,"DUPLICATE","Unique")</f>
        <v/>
      </c>
      <c r="Q747" s="4">
        <f>IF(TRIM(Raw_Data!L747)="","Yes","No")</f>
        <v/>
      </c>
      <c r="R747" s="4">
        <f>IF(ISNUMBER(B747),"Valid","INVALID")</f>
        <v/>
      </c>
    </row>
    <row r="748">
      <c r="A748" s="4">
        <f>TRIM(Raw_Data!A748)</f>
        <v/>
      </c>
      <c r="B748" s="5">
        <f>Raw_Data!B748</f>
        <v/>
      </c>
      <c r="C748" s="4">
        <f>TRIM(Raw_Data!C748)</f>
        <v/>
      </c>
      <c r="D748" s="4">
        <f>PROPER(TRIM(Raw_Data!D748))</f>
        <v/>
      </c>
      <c r="E748" s="4">
        <f>Raw_Data!E748</f>
        <v/>
      </c>
      <c r="F748" s="6">
        <f>ROUND(Raw_Data!F748,2)</f>
        <v/>
      </c>
      <c r="G748" s="4">
        <f>PROPER(TRIM(Raw_Data!G748))</f>
        <v/>
      </c>
      <c r="H748" s="4">
        <f>PROPER(TRIM(Raw_Data!H748))</f>
        <v/>
      </c>
      <c r="I748" s="4">
        <f>PROPER(TRIM(Raw_Data!I748))</f>
        <v/>
      </c>
      <c r="J748" s="4">
        <f>TRIM(Raw_Data!J748)</f>
        <v/>
      </c>
      <c r="K748" s="4">
        <f>Raw_Data!K748</f>
        <v/>
      </c>
      <c r="L748" s="4">
        <f>IF(TRIM(Raw_Data!L748)="","No Coupon",TRIM(Raw_Data!L748))</f>
        <v/>
      </c>
      <c r="M748" s="4">
        <f>PROPER(TRIM(Raw_Data!M748))</f>
        <v/>
      </c>
      <c r="N748" s="6">
        <f>ROUND(Raw_Data!N748,2)</f>
        <v/>
      </c>
      <c r="O748" s="7">
        <f>IF(COUNTIF($A$2:$A$1201,A748)&gt;1,"DUPLICATE","Unique")</f>
        <v/>
      </c>
      <c r="P748" s="7">
        <f>IF(COUNTIF($J$2:$J$1201,J748)&gt;1,"DUPLICATE","Unique")</f>
        <v/>
      </c>
      <c r="Q748" s="4">
        <f>IF(TRIM(Raw_Data!L748)="","Yes","No")</f>
        <v/>
      </c>
      <c r="R748" s="4">
        <f>IF(ISNUMBER(B748),"Valid","INVALID")</f>
        <v/>
      </c>
    </row>
    <row r="749">
      <c r="A749" s="4">
        <f>TRIM(Raw_Data!A749)</f>
        <v/>
      </c>
      <c r="B749" s="5">
        <f>Raw_Data!B749</f>
        <v/>
      </c>
      <c r="C749" s="4">
        <f>TRIM(Raw_Data!C749)</f>
        <v/>
      </c>
      <c r="D749" s="4">
        <f>PROPER(TRIM(Raw_Data!D749))</f>
        <v/>
      </c>
      <c r="E749" s="4">
        <f>Raw_Data!E749</f>
        <v/>
      </c>
      <c r="F749" s="6">
        <f>ROUND(Raw_Data!F749,2)</f>
        <v/>
      </c>
      <c r="G749" s="4">
        <f>PROPER(TRIM(Raw_Data!G749))</f>
        <v/>
      </c>
      <c r="H749" s="4">
        <f>PROPER(TRIM(Raw_Data!H749))</f>
        <v/>
      </c>
      <c r="I749" s="4">
        <f>PROPER(TRIM(Raw_Data!I749))</f>
        <v/>
      </c>
      <c r="J749" s="4">
        <f>TRIM(Raw_Data!J749)</f>
        <v/>
      </c>
      <c r="K749" s="4">
        <f>Raw_Data!K749</f>
        <v/>
      </c>
      <c r="L749" s="4">
        <f>IF(TRIM(Raw_Data!L749)="","No Coupon",TRIM(Raw_Data!L749))</f>
        <v/>
      </c>
      <c r="M749" s="4">
        <f>PROPER(TRIM(Raw_Data!M749))</f>
        <v/>
      </c>
      <c r="N749" s="6">
        <f>ROUND(Raw_Data!N749,2)</f>
        <v/>
      </c>
      <c r="O749" s="7">
        <f>IF(COUNTIF($A$2:$A$1201,A749)&gt;1,"DUPLICATE","Unique")</f>
        <v/>
      </c>
      <c r="P749" s="7">
        <f>IF(COUNTIF($J$2:$J$1201,J749)&gt;1,"DUPLICATE","Unique")</f>
        <v/>
      </c>
      <c r="Q749" s="4">
        <f>IF(TRIM(Raw_Data!L749)="","Yes","No")</f>
        <v/>
      </c>
      <c r="R749" s="4">
        <f>IF(ISNUMBER(B749),"Valid","INVALID")</f>
        <v/>
      </c>
    </row>
    <row r="750">
      <c r="A750" s="4">
        <f>TRIM(Raw_Data!A750)</f>
        <v/>
      </c>
      <c r="B750" s="5">
        <f>Raw_Data!B750</f>
        <v/>
      </c>
      <c r="C750" s="4">
        <f>TRIM(Raw_Data!C750)</f>
        <v/>
      </c>
      <c r="D750" s="4">
        <f>PROPER(TRIM(Raw_Data!D750))</f>
        <v/>
      </c>
      <c r="E750" s="4">
        <f>Raw_Data!E750</f>
        <v/>
      </c>
      <c r="F750" s="6">
        <f>ROUND(Raw_Data!F750,2)</f>
        <v/>
      </c>
      <c r="G750" s="4">
        <f>PROPER(TRIM(Raw_Data!G750))</f>
        <v/>
      </c>
      <c r="H750" s="4">
        <f>PROPER(TRIM(Raw_Data!H750))</f>
        <v/>
      </c>
      <c r="I750" s="4">
        <f>PROPER(TRIM(Raw_Data!I750))</f>
        <v/>
      </c>
      <c r="J750" s="4">
        <f>TRIM(Raw_Data!J750)</f>
        <v/>
      </c>
      <c r="K750" s="4">
        <f>Raw_Data!K750</f>
        <v/>
      </c>
      <c r="L750" s="4">
        <f>IF(TRIM(Raw_Data!L750)="","No Coupon",TRIM(Raw_Data!L750))</f>
        <v/>
      </c>
      <c r="M750" s="4">
        <f>PROPER(TRIM(Raw_Data!M750))</f>
        <v/>
      </c>
      <c r="N750" s="6">
        <f>ROUND(Raw_Data!N750,2)</f>
        <v/>
      </c>
      <c r="O750" s="7">
        <f>IF(COUNTIF($A$2:$A$1201,A750)&gt;1,"DUPLICATE","Unique")</f>
        <v/>
      </c>
      <c r="P750" s="7">
        <f>IF(COUNTIF($J$2:$J$1201,J750)&gt;1,"DUPLICATE","Unique")</f>
        <v/>
      </c>
      <c r="Q750" s="4">
        <f>IF(TRIM(Raw_Data!L750)="","Yes","No")</f>
        <v/>
      </c>
      <c r="R750" s="4">
        <f>IF(ISNUMBER(B750),"Valid","INVALID")</f>
        <v/>
      </c>
    </row>
    <row r="751">
      <c r="A751" s="4">
        <f>TRIM(Raw_Data!A751)</f>
        <v/>
      </c>
      <c r="B751" s="5">
        <f>Raw_Data!B751</f>
        <v/>
      </c>
      <c r="C751" s="4">
        <f>TRIM(Raw_Data!C751)</f>
        <v/>
      </c>
      <c r="D751" s="4">
        <f>PROPER(TRIM(Raw_Data!D751))</f>
        <v/>
      </c>
      <c r="E751" s="4">
        <f>Raw_Data!E751</f>
        <v/>
      </c>
      <c r="F751" s="6">
        <f>ROUND(Raw_Data!F751,2)</f>
        <v/>
      </c>
      <c r="G751" s="4">
        <f>PROPER(TRIM(Raw_Data!G751))</f>
        <v/>
      </c>
      <c r="H751" s="4">
        <f>PROPER(TRIM(Raw_Data!H751))</f>
        <v/>
      </c>
      <c r="I751" s="4">
        <f>PROPER(TRIM(Raw_Data!I751))</f>
        <v/>
      </c>
      <c r="J751" s="4">
        <f>TRIM(Raw_Data!J751)</f>
        <v/>
      </c>
      <c r="K751" s="4">
        <f>Raw_Data!K751</f>
        <v/>
      </c>
      <c r="L751" s="4">
        <f>IF(TRIM(Raw_Data!L751)="","No Coupon",TRIM(Raw_Data!L751))</f>
        <v/>
      </c>
      <c r="M751" s="4">
        <f>PROPER(TRIM(Raw_Data!M751))</f>
        <v/>
      </c>
      <c r="N751" s="6">
        <f>ROUND(Raw_Data!N751,2)</f>
        <v/>
      </c>
      <c r="O751" s="7">
        <f>IF(COUNTIF($A$2:$A$1201,A751)&gt;1,"DUPLICATE","Unique")</f>
        <v/>
      </c>
      <c r="P751" s="7">
        <f>IF(COUNTIF($J$2:$J$1201,J751)&gt;1,"DUPLICATE","Unique")</f>
        <v/>
      </c>
      <c r="Q751" s="4">
        <f>IF(TRIM(Raw_Data!L751)="","Yes","No")</f>
        <v/>
      </c>
      <c r="R751" s="4">
        <f>IF(ISNUMBER(B751),"Valid","INVALID")</f>
        <v/>
      </c>
    </row>
    <row r="752">
      <c r="A752" s="4">
        <f>TRIM(Raw_Data!A752)</f>
        <v/>
      </c>
      <c r="B752" s="5">
        <f>Raw_Data!B752</f>
        <v/>
      </c>
      <c r="C752" s="4">
        <f>TRIM(Raw_Data!C752)</f>
        <v/>
      </c>
      <c r="D752" s="4">
        <f>PROPER(TRIM(Raw_Data!D752))</f>
        <v/>
      </c>
      <c r="E752" s="4">
        <f>Raw_Data!E752</f>
        <v/>
      </c>
      <c r="F752" s="6">
        <f>ROUND(Raw_Data!F752,2)</f>
        <v/>
      </c>
      <c r="G752" s="4">
        <f>PROPER(TRIM(Raw_Data!G752))</f>
        <v/>
      </c>
      <c r="H752" s="4">
        <f>PROPER(TRIM(Raw_Data!H752))</f>
        <v/>
      </c>
      <c r="I752" s="4">
        <f>PROPER(TRIM(Raw_Data!I752))</f>
        <v/>
      </c>
      <c r="J752" s="4">
        <f>TRIM(Raw_Data!J752)</f>
        <v/>
      </c>
      <c r="K752" s="4">
        <f>Raw_Data!K752</f>
        <v/>
      </c>
      <c r="L752" s="4">
        <f>IF(TRIM(Raw_Data!L752)="","No Coupon",TRIM(Raw_Data!L752))</f>
        <v/>
      </c>
      <c r="M752" s="4">
        <f>PROPER(TRIM(Raw_Data!M752))</f>
        <v/>
      </c>
      <c r="N752" s="6">
        <f>ROUND(Raw_Data!N752,2)</f>
        <v/>
      </c>
      <c r="O752" s="7">
        <f>IF(COUNTIF($A$2:$A$1201,A752)&gt;1,"DUPLICATE","Unique")</f>
        <v/>
      </c>
      <c r="P752" s="7">
        <f>IF(COUNTIF($J$2:$J$1201,J752)&gt;1,"DUPLICATE","Unique")</f>
        <v/>
      </c>
      <c r="Q752" s="4">
        <f>IF(TRIM(Raw_Data!L752)="","Yes","No")</f>
        <v/>
      </c>
      <c r="R752" s="4">
        <f>IF(ISNUMBER(B752),"Valid","INVALID")</f>
        <v/>
      </c>
    </row>
    <row r="753">
      <c r="A753" s="4">
        <f>TRIM(Raw_Data!A753)</f>
        <v/>
      </c>
      <c r="B753" s="5">
        <f>Raw_Data!B753</f>
        <v/>
      </c>
      <c r="C753" s="4">
        <f>TRIM(Raw_Data!C753)</f>
        <v/>
      </c>
      <c r="D753" s="4">
        <f>PROPER(TRIM(Raw_Data!D753))</f>
        <v/>
      </c>
      <c r="E753" s="4">
        <f>Raw_Data!E753</f>
        <v/>
      </c>
      <c r="F753" s="6">
        <f>ROUND(Raw_Data!F753,2)</f>
        <v/>
      </c>
      <c r="G753" s="4">
        <f>PROPER(TRIM(Raw_Data!G753))</f>
        <v/>
      </c>
      <c r="H753" s="4">
        <f>PROPER(TRIM(Raw_Data!H753))</f>
        <v/>
      </c>
      <c r="I753" s="4">
        <f>PROPER(TRIM(Raw_Data!I753))</f>
        <v/>
      </c>
      <c r="J753" s="4">
        <f>TRIM(Raw_Data!J753)</f>
        <v/>
      </c>
      <c r="K753" s="4">
        <f>Raw_Data!K753</f>
        <v/>
      </c>
      <c r="L753" s="4">
        <f>IF(TRIM(Raw_Data!L753)="","No Coupon",TRIM(Raw_Data!L753))</f>
        <v/>
      </c>
      <c r="M753" s="4">
        <f>PROPER(TRIM(Raw_Data!M753))</f>
        <v/>
      </c>
      <c r="N753" s="6">
        <f>ROUND(Raw_Data!N753,2)</f>
        <v/>
      </c>
      <c r="O753" s="7">
        <f>IF(COUNTIF($A$2:$A$1201,A753)&gt;1,"DUPLICATE","Unique")</f>
        <v/>
      </c>
      <c r="P753" s="7">
        <f>IF(COUNTIF($J$2:$J$1201,J753)&gt;1,"DUPLICATE","Unique")</f>
        <v/>
      </c>
      <c r="Q753" s="4">
        <f>IF(TRIM(Raw_Data!L753)="","Yes","No")</f>
        <v/>
      </c>
      <c r="R753" s="4">
        <f>IF(ISNUMBER(B753),"Valid","INVALID")</f>
        <v/>
      </c>
    </row>
    <row r="754">
      <c r="A754" s="4">
        <f>TRIM(Raw_Data!A754)</f>
        <v/>
      </c>
      <c r="B754" s="5">
        <f>Raw_Data!B754</f>
        <v/>
      </c>
      <c r="C754" s="4">
        <f>TRIM(Raw_Data!C754)</f>
        <v/>
      </c>
      <c r="D754" s="4">
        <f>PROPER(TRIM(Raw_Data!D754))</f>
        <v/>
      </c>
      <c r="E754" s="4">
        <f>Raw_Data!E754</f>
        <v/>
      </c>
      <c r="F754" s="6">
        <f>ROUND(Raw_Data!F754,2)</f>
        <v/>
      </c>
      <c r="G754" s="4">
        <f>PROPER(TRIM(Raw_Data!G754))</f>
        <v/>
      </c>
      <c r="H754" s="4">
        <f>PROPER(TRIM(Raw_Data!H754))</f>
        <v/>
      </c>
      <c r="I754" s="4">
        <f>PROPER(TRIM(Raw_Data!I754))</f>
        <v/>
      </c>
      <c r="J754" s="4">
        <f>TRIM(Raw_Data!J754)</f>
        <v/>
      </c>
      <c r="K754" s="4">
        <f>Raw_Data!K754</f>
        <v/>
      </c>
      <c r="L754" s="4">
        <f>IF(TRIM(Raw_Data!L754)="","No Coupon",TRIM(Raw_Data!L754))</f>
        <v/>
      </c>
      <c r="M754" s="4">
        <f>PROPER(TRIM(Raw_Data!M754))</f>
        <v/>
      </c>
      <c r="N754" s="6">
        <f>ROUND(Raw_Data!N754,2)</f>
        <v/>
      </c>
      <c r="O754" s="7">
        <f>IF(COUNTIF($A$2:$A$1201,A754)&gt;1,"DUPLICATE","Unique")</f>
        <v/>
      </c>
      <c r="P754" s="7">
        <f>IF(COUNTIF($J$2:$J$1201,J754)&gt;1,"DUPLICATE","Unique")</f>
        <v/>
      </c>
      <c r="Q754" s="4">
        <f>IF(TRIM(Raw_Data!L754)="","Yes","No")</f>
        <v/>
      </c>
      <c r="R754" s="4">
        <f>IF(ISNUMBER(B754),"Valid","INVALID")</f>
        <v/>
      </c>
    </row>
    <row r="755">
      <c r="A755" s="4">
        <f>TRIM(Raw_Data!A755)</f>
        <v/>
      </c>
      <c r="B755" s="5">
        <f>Raw_Data!B755</f>
        <v/>
      </c>
      <c r="C755" s="4">
        <f>TRIM(Raw_Data!C755)</f>
        <v/>
      </c>
      <c r="D755" s="4">
        <f>PROPER(TRIM(Raw_Data!D755))</f>
        <v/>
      </c>
      <c r="E755" s="4">
        <f>Raw_Data!E755</f>
        <v/>
      </c>
      <c r="F755" s="6">
        <f>ROUND(Raw_Data!F755,2)</f>
        <v/>
      </c>
      <c r="G755" s="4">
        <f>PROPER(TRIM(Raw_Data!G755))</f>
        <v/>
      </c>
      <c r="H755" s="4">
        <f>PROPER(TRIM(Raw_Data!H755))</f>
        <v/>
      </c>
      <c r="I755" s="4">
        <f>PROPER(TRIM(Raw_Data!I755))</f>
        <v/>
      </c>
      <c r="J755" s="4">
        <f>TRIM(Raw_Data!J755)</f>
        <v/>
      </c>
      <c r="K755" s="4">
        <f>Raw_Data!K755</f>
        <v/>
      </c>
      <c r="L755" s="4">
        <f>IF(TRIM(Raw_Data!L755)="","No Coupon",TRIM(Raw_Data!L755))</f>
        <v/>
      </c>
      <c r="M755" s="4">
        <f>PROPER(TRIM(Raw_Data!M755))</f>
        <v/>
      </c>
      <c r="N755" s="6">
        <f>ROUND(Raw_Data!N755,2)</f>
        <v/>
      </c>
      <c r="O755" s="7">
        <f>IF(COUNTIF($A$2:$A$1201,A755)&gt;1,"DUPLICATE","Unique")</f>
        <v/>
      </c>
      <c r="P755" s="7">
        <f>IF(COUNTIF($J$2:$J$1201,J755)&gt;1,"DUPLICATE","Unique")</f>
        <v/>
      </c>
      <c r="Q755" s="4">
        <f>IF(TRIM(Raw_Data!L755)="","Yes","No")</f>
        <v/>
      </c>
      <c r="R755" s="4">
        <f>IF(ISNUMBER(B755),"Valid","INVALID")</f>
        <v/>
      </c>
    </row>
    <row r="756">
      <c r="A756" s="4">
        <f>TRIM(Raw_Data!A756)</f>
        <v/>
      </c>
      <c r="B756" s="5">
        <f>Raw_Data!B756</f>
        <v/>
      </c>
      <c r="C756" s="4">
        <f>TRIM(Raw_Data!C756)</f>
        <v/>
      </c>
      <c r="D756" s="4">
        <f>PROPER(TRIM(Raw_Data!D756))</f>
        <v/>
      </c>
      <c r="E756" s="4">
        <f>Raw_Data!E756</f>
        <v/>
      </c>
      <c r="F756" s="6">
        <f>ROUND(Raw_Data!F756,2)</f>
        <v/>
      </c>
      <c r="G756" s="4">
        <f>PROPER(TRIM(Raw_Data!G756))</f>
        <v/>
      </c>
      <c r="H756" s="4">
        <f>PROPER(TRIM(Raw_Data!H756))</f>
        <v/>
      </c>
      <c r="I756" s="4">
        <f>PROPER(TRIM(Raw_Data!I756))</f>
        <v/>
      </c>
      <c r="J756" s="4">
        <f>TRIM(Raw_Data!J756)</f>
        <v/>
      </c>
      <c r="K756" s="4">
        <f>Raw_Data!K756</f>
        <v/>
      </c>
      <c r="L756" s="4">
        <f>IF(TRIM(Raw_Data!L756)="","No Coupon",TRIM(Raw_Data!L756))</f>
        <v/>
      </c>
      <c r="M756" s="4">
        <f>PROPER(TRIM(Raw_Data!M756))</f>
        <v/>
      </c>
      <c r="N756" s="6">
        <f>ROUND(Raw_Data!N756,2)</f>
        <v/>
      </c>
      <c r="O756" s="7">
        <f>IF(COUNTIF($A$2:$A$1201,A756)&gt;1,"DUPLICATE","Unique")</f>
        <v/>
      </c>
      <c r="P756" s="7">
        <f>IF(COUNTIF($J$2:$J$1201,J756)&gt;1,"DUPLICATE","Unique")</f>
        <v/>
      </c>
      <c r="Q756" s="4">
        <f>IF(TRIM(Raw_Data!L756)="","Yes","No")</f>
        <v/>
      </c>
      <c r="R756" s="4">
        <f>IF(ISNUMBER(B756),"Valid","INVALID")</f>
        <v/>
      </c>
    </row>
    <row r="757">
      <c r="A757" s="4">
        <f>TRIM(Raw_Data!A757)</f>
        <v/>
      </c>
      <c r="B757" s="5">
        <f>Raw_Data!B757</f>
        <v/>
      </c>
      <c r="C757" s="4">
        <f>TRIM(Raw_Data!C757)</f>
        <v/>
      </c>
      <c r="D757" s="4">
        <f>PROPER(TRIM(Raw_Data!D757))</f>
        <v/>
      </c>
      <c r="E757" s="4">
        <f>Raw_Data!E757</f>
        <v/>
      </c>
      <c r="F757" s="6">
        <f>ROUND(Raw_Data!F757,2)</f>
        <v/>
      </c>
      <c r="G757" s="4">
        <f>PROPER(TRIM(Raw_Data!G757))</f>
        <v/>
      </c>
      <c r="H757" s="4">
        <f>PROPER(TRIM(Raw_Data!H757))</f>
        <v/>
      </c>
      <c r="I757" s="4">
        <f>PROPER(TRIM(Raw_Data!I757))</f>
        <v/>
      </c>
      <c r="J757" s="4">
        <f>TRIM(Raw_Data!J757)</f>
        <v/>
      </c>
      <c r="K757" s="4">
        <f>Raw_Data!K757</f>
        <v/>
      </c>
      <c r="L757" s="4">
        <f>IF(TRIM(Raw_Data!L757)="","No Coupon",TRIM(Raw_Data!L757))</f>
        <v/>
      </c>
      <c r="M757" s="4">
        <f>PROPER(TRIM(Raw_Data!M757))</f>
        <v/>
      </c>
      <c r="N757" s="6">
        <f>ROUND(Raw_Data!N757,2)</f>
        <v/>
      </c>
      <c r="O757" s="7">
        <f>IF(COUNTIF($A$2:$A$1201,A757)&gt;1,"DUPLICATE","Unique")</f>
        <v/>
      </c>
      <c r="P757" s="7">
        <f>IF(COUNTIF($J$2:$J$1201,J757)&gt;1,"DUPLICATE","Unique")</f>
        <v/>
      </c>
      <c r="Q757" s="4">
        <f>IF(TRIM(Raw_Data!L757)="","Yes","No")</f>
        <v/>
      </c>
      <c r="R757" s="4">
        <f>IF(ISNUMBER(B757),"Valid","INVALID")</f>
        <v/>
      </c>
    </row>
    <row r="758">
      <c r="A758" s="4">
        <f>TRIM(Raw_Data!A758)</f>
        <v/>
      </c>
      <c r="B758" s="5">
        <f>Raw_Data!B758</f>
        <v/>
      </c>
      <c r="C758" s="4">
        <f>TRIM(Raw_Data!C758)</f>
        <v/>
      </c>
      <c r="D758" s="4">
        <f>PROPER(TRIM(Raw_Data!D758))</f>
        <v/>
      </c>
      <c r="E758" s="4">
        <f>Raw_Data!E758</f>
        <v/>
      </c>
      <c r="F758" s="6">
        <f>ROUND(Raw_Data!F758,2)</f>
        <v/>
      </c>
      <c r="G758" s="4">
        <f>PROPER(TRIM(Raw_Data!G758))</f>
        <v/>
      </c>
      <c r="H758" s="4">
        <f>PROPER(TRIM(Raw_Data!H758))</f>
        <v/>
      </c>
      <c r="I758" s="4">
        <f>PROPER(TRIM(Raw_Data!I758))</f>
        <v/>
      </c>
      <c r="J758" s="4">
        <f>TRIM(Raw_Data!J758)</f>
        <v/>
      </c>
      <c r="K758" s="4">
        <f>Raw_Data!K758</f>
        <v/>
      </c>
      <c r="L758" s="4">
        <f>IF(TRIM(Raw_Data!L758)="","No Coupon",TRIM(Raw_Data!L758))</f>
        <v/>
      </c>
      <c r="M758" s="4">
        <f>PROPER(TRIM(Raw_Data!M758))</f>
        <v/>
      </c>
      <c r="N758" s="6">
        <f>ROUND(Raw_Data!N758,2)</f>
        <v/>
      </c>
      <c r="O758" s="7">
        <f>IF(COUNTIF($A$2:$A$1201,A758)&gt;1,"DUPLICATE","Unique")</f>
        <v/>
      </c>
      <c r="P758" s="7">
        <f>IF(COUNTIF($J$2:$J$1201,J758)&gt;1,"DUPLICATE","Unique")</f>
        <v/>
      </c>
      <c r="Q758" s="4">
        <f>IF(TRIM(Raw_Data!L758)="","Yes","No")</f>
        <v/>
      </c>
      <c r="R758" s="4">
        <f>IF(ISNUMBER(B758),"Valid","INVALID")</f>
        <v/>
      </c>
    </row>
    <row r="759">
      <c r="A759" s="4">
        <f>TRIM(Raw_Data!A759)</f>
        <v/>
      </c>
      <c r="B759" s="5">
        <f>Raw_Data!B759</f>
        <v/>
      </c>
      <c r="C759" s="4">
        <f>TRIM(Raw_Data!C759)</f>
        <v/>
      </c>
      <c r="D759" s="4">
        <f>PROPER(TRIM(Raw_Data!D759))</f>
        <v/>
      </c>
      <c r="E759" s="4">
        <f>Raw_Data!E759</f>
        <v/>
      </c>
      <c r="F759" s="6">
        <f>ROUND(Raw_Data!F759,2)</f>
        <v/>
      </c>
      <c r="G759" s="4">
        <f>PROPER(TRIM(Raw_Data!G759))</f>
        <v/>
      </c>
      <c r="H759" s="4">
        <f>PROPER(TRIM(Raw_Data!H759))</f>
        <v/>
      </c>
      <c r="I759" s="4">
        <f>PROPER(TRIM(Raw_Data!I759))</f>
        <v/>
      </c>
      <c r="J759" s="4">
        <f>TRIM(Raw_Data!J759)</f>
        <v/>
      </c>
      <c r="K759" s="4">
        <f>Raw_Data!K759</f>
        <v/>
      </c>
      <c r="L759" s="4">
        <f>IF(TRIM(Raw_Data!L759)="","No Coupon",TRIM(Raw_Data!L759))</f>
        <v/>
      </c>
      <c r="M759" s="4">
        <f>PROPER(TRIM(Raw_Data!M759))</f>
        <v/>
      </c>
      <c r="N759" s="6">
        <f>ROUND(Raw_Data!N759,2)</f>
        <v/>
      </c>
      <c r="O759" s="7">
        <f>IF(COUNTIF($A$2:$A$1201,A759)&gt;1,"DUPLICATE","Unique")</f>
        <v/>
      </c>
      <c r="P759" s="7">
        <f>IF(COUNTIF($J$2:$J$1201,J759)&gt;1,"DUPLICATE","Unique")</f>
        <v/>
      </c>
      <c r="Q759" s="4">
        <f>IF(TRIM(Raw_Data!L759)="","Yes","No")</f>
        <v/>
      </c>
      <c r="R759" s="4">
        <f>IF(ISNUMBER(B759),"Valid","INVALID")</f>
        <v/>
      </c>
    </row>
    <row r="760">
      <c r="A760" s="4">
        <f>TRIM(Raw_Data!A760)</f>
        <v/>
      </c>
      <c r="B760" s="5">
        <f>Raw_Data!B760</f>
        <v/>
      </c>
      <c r="C760" s="4">
        <f>TRIM(Raw_Data!C760)</f>
        <v/>
      </c>
      <c r="D760" s="4">
        <f>PROPER(TRIM(Raw_Data!D760))</f>
        <v/>
      </c>
      <c r="E760" s="4">
        <f>Raw_Data!E760</f>
        <v/>
      </c>
      <c r="F760" s="6">
        <f>ROUND(Raw_Data!F760,2)</f>
        <v/>
      </c>
      <c r="G760" s="4">
        <f>PROPER(TRIM(Raw_Data!G760))</f>
        <v/>
      </c>
      <c r="H760" s="4">
        <f>PROPER(TRIM(Raw_Data!H760))</f>
        <v/>
      </c>
      <c r="I760" s="4">
        <f>PROPER(TRIM(Raw_Data!I760))</f>
        <v/>
      </c>
      <c r="J760" s="4">
        <f>TRIM(Raw_Data!J760)</f>
        <v/>
      </c>
      <c r="K760" s="4">
        <f>Raw_Data!K760</f>
        <v/>
      </c>
      <c r="L760" s="4">
        <f>IF(TRIM(Raw_Data!L760)="","No Coupon",TRIM(Raw_Data!L760))</f>
        <v/>
      </c>
      <c r="M760" s="4">
        <f>PROPER(TRIM(Raw_Data!M760))</f>
        <v/>
      </c>
      <c r="N760" s="6">
        <f>ROUND(Raw_Data!N760,2)</f>
        <v/>
      </c>
      <c r="O760" s="7">
        <f>IF(COUNTIF($A$2:$A$1201,A760)&gt;1,"DUPLICATE","Unique")</f>
        <v/>
      </c>
      <c r="P760" s="7">
        <f>IF(COUNTIF($J$2:$J$1201,J760)&gt;1,"DUPLICATE","Unique")</f>
        <v/>
      </c>
      <c r="Q760" s="4">
        <f>IF(TRIM(Raw_Data!L760)="","Yes","No")</f>
        <v/>
      </c>
      <c r="R760" s="4">
        <f>IF(ISNUMBER(B760),"Valid","INVALID")</f>
        <v/>
      </c>
    </row>
    <row r="761">
      <c r="A761" s="4">
        <f>TRIM(Raw_Data!A761)</f>
        <v/>
      </c>
      <c r="B761" s="5">
        <f>Raw_Data!B761</f>
        <v/>
      </c>
      <c r="C761" s="4">
        <f>TRIM(Raw_Data!C761)</f>
        <v/>
      </c>
      <c r="D761" s="4">
        <f>PROPER(TRIM(Raw_Data!D761))</f>
        <v/>
      </c>
      <c r="E761" s="4">
        <f>Raw_Data!E761</f>
        <v/>
      </c>
      <c r="F761" s="6">
        <f>ROUND(Raw_Data!F761,2)</f>
        <v/>
      </c>
      <c r="G761" s="4">
        <f>PROPER(TRIM(Raw_Data!G761))</f>
        <v/>
      </c>
      <c r="H761" s="4">
        <f>PROPER(TRIM(Raw_Data!H761))</f>
        <v/>
      </c>
      <c r="I761" s="4">
        <f>PROPER(TRIM(Raw_Data!I761))</f>
        <v/>
      </c>
      <c r="J761" s="4">
        <f>TRIM(Raw_Data!J761)</f>
        <v/>
      </c>
      <c r="K761" s="4">
        <f>Raw_Data!K761</f>
        <v/>
      </c>
      <c r="L761" s="4">
        <f>IF(TRIM(Raw_Data!L761)="","No Coupon",TRIM(Raw_Data!L761))</f>
        <v/>
      </c>
      <c r="M761" s="4">
        <f>PROPER(TRIM(Raw_Data!M761))</f>
        <v/>
      </c>
      <c r="N761" s="6">
        <f>ROUND(Raw_Data!N761,2)</f>
        <v/>
      </c>
      <c r="O761" s="7">
        <f>IF(COUNTIF($A$2:$A$1201,A761)&gt;1,"DUPLICATE","Unique")</f>
        <v/>
      </c>
      <c r="P761" s="7">
        <f>IF(COUNTIF($J$2:$J$1201,J761)&gt;1,"DUPLICATE","Unique")</f>
        <v/>
      </c>
      <c r="Q761" s="4">
        <f>IF(TRIM(Raw_Data!L761)="","Yes","No")</f>
        <v/>
      </c>
      <c r="R761" s="4">
        <f>IF(ISNUMBER(B761),"Valid","INVALID")</f>
        <v/>
      </c>
    </row>
    <row r="762">
      <c r="A762" s="4">
        <f>TRIM(Raw_Data!A762)</f>
        <v/>
      </c>
      <c r="B762" s="5">
        <f>Raw_Data!B762</f>
        <v/>
      </c>
      <c r="C762" s="4">
        <f>TRIM(Raw_Data!C762)</f>
        <v/>
      </c>
      <c r="D762" s="4">
        <f>PROPER(TRIM(Raw_Data!D762))</f>
        <v/>
      </c>
      <c r="E762" s="4">
        <f>Raw_Data!E762</f>
        <v/>
      </c>
      <c r="F762" s="6">
        <f>ROUND(Raw_Data!F762,2)</f>
        <v/>
      </c>
      <c r="G762" s="4">
        <f>PROPER(TRIM(Raw_Data!G762))</f>
        <v/>
      </c>
      <c r="H762" s="4">
        <f>PROPER(TRIM(Raw_Data!H762))</f>
        <v/>
      </c>
      <c r="I762" s="4">
        <f>PROPER(TRIM(Raw_Data!I762))</f>
        <v/>
      </c>
      <c r="J762" s="4">
        <f>TRIM(Raw_Data!J762)</f>
        <v/>
      </c>
      <c r="K762" s="4">
        <f>Raw_Data!K762</f>
        <v/>
      </c>
      <c r="L762" s="4">
        <f>IF(TRIM(Raw_Data!L762)="","No Coupon",TRIM(Raw_Data!L762))</f>
        <v/>
      </c>
      <c r="M762" s="4">
        <f>PROPER(TRIM(Raw_Data!M762))</f>
        <v/>
      </c>
      <c r="N762" s="6">
        <f>ROUND(Raw_Data!N762,2)</f>
        <v/>
      </c>
      <c r="O762" s="7">
        <f>IF(COUNTIF($A$2:$A$1201,A762)&gt;1,"DUPLICATE","Unique")</f>
        <v/>
      </c>
      <c r="P762" s="7">
        <f>IF(COUNTIF($J$2:$J$1201,J762)&gt;1,"DUPLICATE","Unique")</f>
        <v/>
      </c>
      <c r="Q762" s="4">
        <f>IF(TRIM(Raw_Data!L762)="","Yes","No")</f>
        <v/>
      </c>
      <c r="R762" s="4">
        <f>IF(ISNUMBER(B762),"Valid","INVALID")</f>
        <v/>
      </c>
    </row>
    <row r="763">
      <c r="A763" s="4">
        <f>TRIM(Raw_Data!A763)</f>
        <v/>
      </c>
      <c r="B763" s="5">
        <f>Raw_Data!B763</f>
        <v/>
      </c>
      <c r="C763" s="4">
        <f>TRIM(Raw_Data!C763)</f>
        <v/>
      </c>
      <c r="D763" s="4">
        <f>PROPER(TRIM(Raw_Data!D763))</f>
        <v/>
      </c>
      <c r="E763" s="4">
        <f>Raw_Data!E763</f>
        <v/>
      </c>
      <c r="F763" s="6">
        <f>ROUND(Raw_Data!F763,2)</f>
        <v/>
      </c>
      <c r="G763" s="4">
        <f>PROPER(TRIM(Raw_Data!G763))</f>
        <v/>
      </c>
      <c r="H763" s="4">
        <f>PROPER(TRIM(Raw_Data!H763))</f>
        <v/>
      </c>
      <c r="I763" s="4">
        <f>PROPER(TRIM(Raw_Data!I763))</f>
        <v/>
      </c>
      <c r="J763" s="4">
        <f>TRIM(Raw_Data!J763)</f>
        <v/>
      </c>
      <c r="K763" s="4">
        <f>Raw_Data!K763</f>
        <v/>
      </c>
      <c r="L763" s="4">
        <f>IF(TRIM(Raw_Data!L763)="","No Coupon",TRIM(Raw_Data!L763))</f>
        <v/>
      </c>
      <c r="M763" s="4">
        <f>PROPER(TRIM(Raw_Data!M763))</f>
        <v/>
      </c>
      <c r="N763" s="6">
        <f>ROUND(Raw_Data!N763,2)</f>
        <v/>
      </c>
      <c r="O763" s="7">
        <f>IF(COUNTIF($A$2:$A$1201,A763)&gt;1,"DUPLICATE","Unique")</f>
        <v/>
      </c>
      <c r="P763" s="7">
        <f>IF(COUNTIF($J$2:$J$1201,J763)&gt;1,"DUPLICATE","Unique")</f>
        <v/>
      </c>
      <c r="Q763" s="4">
        <f>IF(TRIM(Raw_Data!L763)="","Yes","No")</f>
        <v/>
      </c>
      <c r="R763" s="4">
        <f>IF(ISNUMBER(B763),"Valid","INVALID")</f>
        <v/>
      </c>
    </row>
    <row r="764">
      <c r="A764" s="4">
        <f>TRIM(Raw_Data!A764)</f>
        <v/>
      </c>
      <c r="B764" s="5">
        <f>Raw_Data!B764</f>
        <v/>
      </c>
      <c r="C764" s="4">
        <f>TRIM(Raw_Data!C764)</f>
        <v/>
      </c>
      <c r="D764" s="4">
        <f>PROPER(TRIM(Raw_Data!D764))</f>
        <v/>
      </c>
      <c r="E764" s="4">
        <f>Raw_Data!E764</f>
        <v/>
      </c>
      <c r="F764" s="6">
        <f>ROUND(Raw_Data!F764,2)</f>
        <v/>
      </c>
      <c r="G764" s="4">
        <f>PROPER(TRIM(Raw_Data!G764))</f>
        <v/>
      </c>
      <c r="H764" s="4">
        <f>PROPER(TRIM(Raw_Data!H764))</f>
        <v/>
      </c>
      <c r="I764" s="4">
        <f>PROPER(TRIM(Raw_Data!I764))</f>
        <v/>
      </c>
      <c r="J764" s="4">
        <f>TRIM(Raw_Data!J764)</f>
        <v/>
      </c>
      <c r="K764" s="4">
        <f>Raw_Data!K764</f>
        <v/>
      </c>
      <c r="L764" s="4">
        <f>IF(TRIM(Raw_Data!L764)="","No Coupon",TRIM(Raw_Data!L764))</f>
        <v/>
      </c>
      <c r="M764" s="4">
        <f>PROPER(TRIM(Raw_Data!M764))</f>
        <v/>
      </c>
      <c r="N764" s="6">
        <f>ROUND(Raw_Data!N764,2)</f>
        <v/>
      </c>
      <c r="O764" s="7">
        <f>IF(COUNTIF($A$2:$A$1201,A764)&gt;1,"DUPLICATE","Unique")</f>
        <v/>
      </c>
      <c r="P764" s="7">
        <f>IF(COUNTIF($J$2:$J$1201,J764)&gt;1,"DUPLICATE","Unique")</f>
        <v/>
      </c>
      <c r="Q764" s="4">
        <f>IF(TRIM(Raw_Data!L764)="","Yes","No")</f>
        <v/>
      </c>
      <c r="R764" s="4">
        <f>IF(ISNUMBER(B764),"Valid","INVALID")</f>
        <v/>
      </c>
    </row>
    <row r="765">
      <c r="A765" s="4">
        <f>TRIM(Raw_Data!A765)</f>
        <v/>
      </c>
      <c r="B765" s="5">
        <f>Raw_Data!B765</f>
        <v/>
      </c>
      <c r="C765" s="4">
        <f>TRIM(Raw_Data!C765)</f>
        <v/>
      </c>
      <c r="D765" s="4">
        <f>PROPER(TRIM(Raw_Data!D765))</f>
        <v/>
      </c>
      <c r="E765" s="4">
        <f>Raw_Data!E765</f>
        <v/>
      </c>
      <c r="F765" s="6">
        <f>ROUND(Raw_Data!F765,2)</f>
        <v/>
      </c>
      <c r="G765" s="4">
        <f>PROPER(TRIM(Raw_Data!G765))</f>
        <v/>
      </c>
      <c r="H765" s="4">
        <f>PROPER(TRIM(Raw_Data!H765))</f>
        <v/>
      </c>
      <c r="I765" s="4">
        <f>PROPER(TRIM(Raw_Data!I765))</f>
        <v/>
      </c>
      <c r="J765" s="4">
        <f>TRIM(Raw_Data!J765)</f>
        <v/>
      </c>
      <c r="K765" s="4">
        <f>Raw_Data!K765</f>
        <v/>
      </c>
      <c r="L765" s="4">
        <f>IF(TRIM(Raw_Data!L765)="","No Coupon",TRIM(Raw_Data!L765))</f>
        <v/>
      </c>
      <c r="M765" s="4">
        <f>PROPER(TRIM(Raw_Data!M765))</f>
        <v/>
      </c>
      <c r="N765" s="6">
        <f>ROUND(Raw_Data!N765,2)</f>
        <v/>
      </c>
      <c r="O765" s="7">
        <f>IF(COUNTIF($A$2:$A$1201,A765)&gt;1,"DUPLICATE","Unique")</f>
        <v/>
      </c>
      <c r="P765" s="7">
        <f>IF(COUNTIF($J$2:$J$1201,J765)&gt;1,"DUPLICATE","Unique")</f>
        <v/>
      </c>
      <c r="Q765" s="4">
        <f>IF(TRIM(Raw_Data!L765)="","Yes","No")</f>
        <v/>
      </c>
      <c r="R765" s="4">
        <f>IF(ISNUMBER(B765),"Valid","INVALID")</f>
        <v/>
      </c>
    </row>
    <row r="766">
      <c r="A766" s="4">
        <f>TRIM(Raw_Data!A766)</f>
        <v/>
      </c>
      <c r="B766" s="5">
        <f>Raw_Data!B766</f>
        <v/>
      </c>
      <c r="C766" s="4">
        <f>TRIM(Raw_Data!C766)</f>
        <v/>
      </c>
      <c r="D766" s="4">
        <f>PROPER(TRIM(Raw_Data!D766))</f>
        <v/>
      </c>
      <c r="E766" s="4">
        <f>Raw_Data!E766</f>
        <v/>
      </c>
      <c r="F766" s="6">
        <f>ROUND(Raw_Data!F766,2)</f>
        <v/>
      </c>
      <c r="G766" s="4">
        <f>PROPER(TRIM(Raw_Data!G766))</f>
        <v/>
      </c>
      <c r="H766" s="4">
        <f>PROPER(TRIM(Raw_Data!H766))</f>
        <v/>
      </c>
      <c r="I766" s="4">
        <f>PROPER(TRIM(Raw_Data!I766))</f>
        <v/>
      </c>
      <c r="J766" s="4">
        <f>TRIM(Raw_Data!J766)</f>
        <v/>
      </c>
      <c r="K766" s="4">
        <f>Raw_Data!K766</f>
        <v/>
      </c>
      <c r="L766" s="4">
        <f>IF(TRIM(Raw_Data!L766)="","No Coupon",TRIM(Raw_Data!L766))</f>
        <v/>
      </c>
      <c r="M766" s="4">
        <f>PROPER(TRIM(Raw_Data!M766))</f>
        <v/>
      </c>
      <c r="N766" s="6">
        <f>ROUND(Raw_Data!N766,2)</f>
        <v/>
      </c>
      <c r="O766" s="7">
        <f>IF(COUNTIF($A$2:$A$1201,A766)&gt;1,"DUPLICATE","Unique")</f>
        <v/>
      </c>
      <c r="P766" s="7">
        <f>IF(COUNTIF($J$2:$J$1201,J766)&gt;1,"DUPLICATE","Unique")</f>
        <v/>
      </c>
      <c r="Q766" s="4">
        <f>IF(TRIM(Raw_Data!L766)="","Yes","No")</f>
        <v/>
      </c>
      <c r="R766" s="4">
        <f>IF(ISNUMBER(B766),"Valid","INVALID")</f>
        <v/>
      </c>
    </row>
    <row r="767">
      <c r="A767" s="4">
        <f>TRIM(Raw_Data!A767)</f>
        <v/>
      </c>
      <c r="B767" s="5">
        <f>Raw_Data!B767</f>
        <v/>
      </c>
      <c r="C767" s="4">
        <f>TRIM(Raw_Data!C767)</f>
        <v/>
      </c>
      <c r="D767" s="4">
        <f>PROPER(TRIM(Raw_Data!D767))</f>
        <v/>
      </c>
      <c r="E767" s="4">
        <f>Raw_Data!E767</f>
        <v/>
      </c>
      <c r="F767" s="6">
        <f>ROUND(Raw_Data!F767,2)</f>
        <v/>
      </c>
      <c r="G767" s="4">
        <f>PROPER(TRIM(Raw_Data!G767))</f>
        <v/>
      </c>
      <c r="H767" s="4">
        <f>PROPER(TRIM(Raw_Data!H767))</f>
        <v/>
      </c>
      <c r="I767" s="4">
        <f>PROPER(TRIM(Raw_Data!I767))</f>
        <v/>
      </c>
      <c r="J767" s="4">
        <f>TRIM(Raw_Data!J767)</f>
        <v/>
      </c>
      <c r="K767" s="4">
        <f>Raw_Data!K767</f>
        <v/>
      </c>
      <c r="L767" s="4">
        <f>IF(TRIM(Raw_Data!L767)="","No Coupon",TRIM(Raw_Data!L767))</f>
        <v/>
      </c>
      <c r="M767" s="4">
        <f>PROPER(TRIM(Raw_Data!M767))</f>
        <v/>
      </c>
      <c r="N767" s="6">
        <f>ROUND(Raw_Data!N767,2)</f>
        <v/>
      </c>
      <c r="O767" s="7">
        <f>IF(COUNTIF($A$2:$A$1201,A767)&gt;1,"DUPLICATE","Unique")</f>
        <v/>
      </c>
      <c r="P767" s="7">
        <f>IF(COUNTIF($J$2:$J$1201,J767)&gt;1,"DUPLICATE","Unique")</f>
        <v/>
      </c>
      <c r="Q767" s="4">
        <f>IF(TRIM(Raw_Data!L767)="","Yes","No")</f>
        <v/>
      </c>
      <c r="R767" s="4">
        <f>IF(ISNUMBER(B767),"Valid","INVALID")</f>
        <v/>
      </c>
    </row>
    <row r="768">
      <c r="A768" s="4">
        <f>TRIM(Raw_Data!A768)</f>
        <v/>
      </c>
      <c r="B768" s="5">
        <f>Raw_Data!B768</f>
        <v/>
      </c>
      <c r="C768" s="4">
        <f>TRIM(Raw_Data!C768)</f>
        <v/>
      </c>
      <c r="D768" s="4">
        <f>PROPER(TRIM(Raw_Data!D768))</f>
        <v/>
      </c>
      <c r="E768" s="4">
        <f>Raw_Data!E768</f>
        <v/>
      </c>
      <c r="F768" s="6">
        <f>ROUND(Raw_Data!F768,2)</f>
        <v/>
      </c>
      <c r="G768" s="4">
        <f>PROPER(TRIM(Raw_Data!G768))</f>
        <v/>
      </c>
      <c r="H768" s="4">
        <f>PROPER(TRIM(Raw_Data!H768))</f>
        <v/>
      </c>
      <c r="I768" s="4">
        <f>PROPER(TRIM(Raw_Data!I768))</f>
        <v/>
      </c>
      <c r="J768" s="4">
        <f>TRIM(Raw_Data!J768)</f>
        <v/>
      </c>
      <c r="K768" s="4">
        <f>Raw_Data!K768</f>
        <v/>
      </c>
      <c r="L768" s="4">
        <f>IF(TRIM(Raw_Data!L768)="","No Coupon",TRIM(Raw_Data!L768))</f>
        <v/>
      </c>
      <c r="M768" s="4">
        <f>PROPER(TRIM(Raw_Data!M768))</f>
        <v/>
      </c>
      <c r="N768" s="6">
        <f>ROUND(Raw_Data!N768,2)</f>
        <v/>
      </c>
      <c r="O768" s="7">
        <f>IF(COUNTIF($A$2:$A$1201,A768)&gt;1,"DUPLICATE","Unique")</f>
        <v/>
      </c>
      <c r="P768" s="7">
        <f>IF(COUNTIF($J$2:$J$1201,J768)&gt;1,"DUPLICATE","Unique")</f>
        <v/>
      </c>
      <c r="Q768" s="4">
        <f>IF(TRIM(Raw_Data!L768)="","Yes","No")</f>
        <v/>
      </c>
      <c r="R768" s="4">
        <f>IF(ISNUMBER(B768),"Valid","INVALID")</f>
        <v/>
      </c>
    </row>
    <row r="769">
      <c r="A769" s="4">
        <f>TRIM(Raw_Data!A769)</f>
        <v/>
      </c>
      <c r="B769" s="5">
        <f>Raw_Data!B769</f>
        <v/>
      </c>
      <c r="C769" s="4">
        <f>TRIM(Raw_Data!C769)</f>
        <v/>
      </c>
      <c r="D769" s="4">
        <f>PROPER(TRIM(Raw_Data!D769))</f>
        <v/>
      </c>
      <c r="E769" s="4">
        <f>Raw_Data!E769</f>
        <v/>
      </c>
      <c r="F769" s="6">
        <f>ROUND(Raw_Data!F769,2)</f>
        <v/>
      </c>
      <c r="G769" s="4">
        <f>PROPER(TRIM(Raw_Data!G769))</f>
        <v/>
      </c>
      <c r="H769" s="4">
        <f>PROPER(TRIM(Raw_Data!H769))</f>
        <v/>
      </c>
      <c r="I769" s="4">
        <f>PROPER(TRIM(Raw_Data!I769))</f>
        <v/>
      </c>
      <c r="J769" s="4">
        <f>TRIM(Raw_Data!J769)</f>
        <v/>
      </c>
      <c r="K769" s="4">
        <f>Raw_Data!K769</f>
        <v/>
      </c>
      <c r="L769" s="4">
        <f>IF(TRIM(Raw_Data!L769)="","No Coupon",TRIM(Raw_Data!L769))</f>
        <v/>
      </c>
      <c r="M769" s="4">
        <f>PROPER(TRIM(Raw_Data!M769))</f>
        <v/>
      </c>
      <c r="N769" s="6">
        <f>ROUND(Raw_Data!N769,2)</f>
        <v/>
      </c>
      <c r="O769" s="7">
        <f>IF(COUNTIF($A$2:$A$1201,A769)&gt;1,"DUPLICATE","Unique")</f>
        <v/>
      </c>
      <c r="P769" s="7">
        <f>IF(COUNTIF($J$2:$J$1201,J769)&gt;1,"DUPLICATE","Unique")</f>
        <v/>
      </c>
      <c r="Q769" s="4">
        <f>IF(TRIM(Raw_Data!L769)="","Yes","No")</f>
        <v/>
      </c>
      <c r="R769" s="4">
        <f>IF(ISNUMBER(B769),"Valid","INVALID")</f>
        <v/>
      </c>
    </row>
    <row r="770">
      <c r="A770" s="4">
        <f>TRIM(Raw_Data!A770)</f>
        <v/>
      </c>
      <c r="B770" s="5">
        <f>Raw_Data!B770</f>
        <v/>
      </c>
      <c r="C770" s="4">
        <f>TRIM(Raw_Data!C770)</f>
        <v/>
      </c>
      <c r="D770" s="4">
        <f>PROPER(TRIM(Raw_Data!D770))</f>
        <v/>
      </c>
      <c r="E770" s="4">
        <f>Raw_Data!E770</f>
        <v/>
      </c>
      <c r="F770" s="6">
        <f>ROUND(Raw_Data!F770,2)</f>
        <v/>
      </c>
      <c r="G770" s="4">
        <f>PROPER(TRIM(Raw_Data!G770))</f>
        <v/>
      </c>
      <c r="H770" s="4">
        <f>PROPER(TRIM(Raw_Data!H770))</f>
        <v/>
      </c>
      <c r="I770" s="4">
        <f>PROPER(TRIM(Raw_Data!I770))</f>
        <v/>
      </c>
      <c r="J770" s="4">
        <f>TRIM(Raw_Data!J770)</f>
        <v/>
      </c>
      <c r="K770" s="4">
        <f>Raw_Data!K770</f>
        <v/>
      </c>
      <c r="L770" s="4">
        <f>IF(TRIM(Raw_Data!L770)="","No Coupon",TRIM(Raw_Data!L770))</f>
        <v/>
      </c>
      <c r="M770" s="4">
        <f>PROPER(TRIM(Raw_Data!M770))</f>
        <v/>
      </c>
      <c r="N770" s="6">
        <f>ROUND(Raw_Data!N770,2)</f>
        <v/>
      </c>
      <c r="O770" s="7">
        <f>IF(COUNTIF($A$2:$A$1201,A770)&gt;1,"DUPLICATE","Unique")</f>
        <v/>
      </c>
      <c r="P770" s="7">
        <f>IF(COUNTIF($J$2:$J$1201,J770)&gt;1,"DUPLICATE","Unique")</f>
        <v/>
      </c>
      <c r="Q770" s="4">
        <f>IF(TRIM(Raw_Data!L770)="","Yes","No")</f>
        <v/>
      </c>
      <c r="R770" s="4">
        <f>IF(ISNUMBER(B770),"Valid","INVALID")</f>
        <v/>
      </c>
    </row>
    <row r="771">
      <c r="A771" s="4">
        <f>TRIM(Raw_Data!A771)</f>
        <v/>
      </c>
      <c r="B771" s="5">
        <f>Raw_Data!B771</f>
        <v/>
      </c>
      <c r="C771" s="4">
        <f>TRIM(Raw_Data!C771)</f>
        <v/>
      </c>
      <c r="D771" s="4">
        <f>PROPER(TRIM(Raw_Data!D771))</f>
        <v/>
      </c>
      <c r="E771" s="4">
        <f>Raw_Data!E771</f>
        <v/>
      </c>
      <c r="F771" s="6">
        <f>ROUND(Raw_Data!F771,2)</f>
        <v/>
      </c>
      <c r="G771" s="4">
        <f>PROPER(TRIM(Raw_Data!G771))</f>
        <v/>
      </c>
      <c r="H771" s="4">
        <f>PROPER(TRIM(Raw_Data!H771))</f>
        <v/>
      </c>
      <c r="I771" s="4">
        <f>PROPER(TRIM(Raw_Data!I771))</f>
        <v/>
      </c>
      <c r="J771" s="4">
        <f>TRIM(Raw_Data!J771)</f>
        <v/>
      </c>
      <c r="K771" s="4">
        <f>Raw_Data!K771</f>
        <v/>
      </c>
      <c r="L771" s="4">
        <f>IF(TRIM(Raw_Data!L771)="","No Coupon",TRIM(Raw_Data!L771))</f>
        <v/>
      </c>
      <c r="M771" s="4">
        <f>PROPER(TRIM(Raw_Data!M771))</f>
        <v/>
      </c>
      <c r="N771" s="6">
        <f>ROUND(Raw_Data!N771,2)</f>
        <v/>
      </c>
      <c r="O771" s="7">
        <f>IF(COUNTIF($A$2:$A$1201,A771)&gt;1,"DUPLICATE","Unique")</f>
        <v/>
      </c>
      <c r="P771" s="7">
        <f>IF(COUNTIF($J$2:$J$1201,J771)&gt;1,"DUPLICATE","Unique")</f>
        <v/>
      </c>
      <c r="Q771" s="4">
        <f>IF(TRIM(Raw_Data!L771)="","Yes","No")</f>
        <v/>
      </c>
      <c r="R771" s="4">
        <f>IF(ISNUMBER(B771),"Valid","INVALID")</f>
        <v/>
      </c>
    </row>
    <row r="772">
      <c r="A772" s="4">
        <f>TRIM(Raw_Data!A772)</f>
        <v/>
      </c>
      <c r="B772" s="5">
        <f>Raw_Data!B772</f>
        <v/>
      </c>
      <c r="C772" s="4">
        <f>TRIM(Raw_Data!C772)</f>
        <v/>
      </c>
      <c r="D772" s="4">
        <f>PROPER(TRIM(Raw_Data!D772))</f>
        <v/>
      </c>
      <c r="E772" s="4">
        <f>Raw_Data!E772</f>
        <v/>
      </c>
      <c r="F772" s="6">
        <f>ROUND(Raw_Data!F772,2)</f>
        <v/>
      </c>
      <c r="G772" s="4">
        <f>PROPER(TRIM(Raw_Data!G772))</f>
        <v/>
      </c>
      <c r="H772" s="4">
        <f>PROPER(TRIM(Raw_Data!H772))</f>
        <v/>
      </c>
      <c r="I772" s="4">
        <f>PROPER(TRIM(Raw_Data!I772))</f>
        <v/>
      </c>
      <c r="J772" s="4">
        <f>TRIM(Raw_Data!J772)</f>
        <v/>
      </c>
      <c r="K772" s="4">
        <f>Raw_Data!K772</f>
        <v/>
      </c>
      <c r="L772" s="4">
        <f>IF(TRIM(Raw_Data!L772)="","No Coupon",TRIM(Raw_Data!L772))</f>
        <v/>
      </c>
      <c r="M772" s="4">
        <f>PROPER(TRIM(Raw_Data!M772))</f>
        <v/>
      </c>
      <c r="N772" s="6">
        <f>ROUND(Raw_Data!N772,2)</f>
        <v/>
      </c>
      <c r="O772" s="7">
        <f>IF(COUNTIF($A$2:$A$1201,A772)&gt;1,"DUPLICATE","Unique")</f>
        <v/>
      </c>
      <c r="P772" s="7">
        <f>IF(COUNTIF($J$2:$J$1201,J772)&gt;1,"DUPLICATE","Unique")</f>
        <v/>
      </c>
      <c r="Q772" s="4">
        <f>IF(TRIM(Raw_Data!L772)="","Yes","No")</f>
        <v/>
      </c>
      <c r="R772" s="4">
        <f>IF(ISNUMBER(B772),"Valid","INVALID")</f>
        <v/>
      </c>
    </row>
    <row r="773">
      <c r="A773" s="4">
        <f>TRIM(Raw_Data!A773)</f>
        <v/>
      </c>
      <c r="B773" s="5">
        <f>Raw_Data!B773</f>
        <v/>
      </c>
      <c r="C773" s="4">
        <f>TRIM(Raw_Data!C773)</f>
        <v/>
      </c>
      <c r="D773" s="4">
        <f>PROPER(TRIM(Raw_Data!D773))</f>
        <v/>
      </c>
      <c r="E773" s="4">
        <f>Raw_Data!E773</f>
        <v/>
      </c>
      <c r="F773" s="6">
        <f>ROUND(Raw_Data!F773,2)</f>
        <v/>
      </c>
      <c r="G773" s="4">
        <f>PROPER(TRIM(Raw_Data!G773))</f>
        <v/>
      </c>
      <c r="H773" s="4">
        <f>PROPER(TRIM(Raw_Data!H773))</f>
        <v/>
      </c>
      <c r="I773" s="4">
        <f>PROPER(TRIM(Raw_Data!I773))</f>
        <v/>
      </c>
      <c r="J773" s="4">
        <f>TRIM(Raw_Data!J773)</f>
        <v/>
      </c>
      <c r="K773" s="4">
        <f>Raw_Data!K773</f>
        <v/>
      </c>
      <c r="L773" s="4">
        <f>IF(TRIM(Raw_Data!L773)="","No Coupon",TRIM(Raw_Data!L773))</f>
        <v/>
      </c>
      <c r="M773" s="4">
        <f>PROPER(TRIM(Raw_Data!M773))</f>
        <v/>
      </c>
      <c r="N773" s="6">
        <f>ROUND(Raw_Data!N773,2)</f>
        <v/>
      </c>
      <c r="O773" s="7">
        <f>IF(COUNTIF($A$2:$A$1201,A773)&gt;1,"DUPLICATE","Unique")</f>
        <v/>
      </c>
      <c r="P773" s="7">
        <f>IF(COUNTIF($J$2:$J$1201,J773)&gt;1,"DUPLICATE","Unique")</f>
        <v/>
      </c>
      <c r="Q773" s="4">
        <f>IF(TRIM(Raw_Data!L773)="","Yes","No")</f>
        <v/>
      </c>
      <c r="R773" s="4">
        <f>IF(ISNUMBER(B773),"Valid","INVALID")</f>
        <v/>
      </c>
    </row>
    <row r="774">
      <c r="A774" s="4">
        <f>TRIM(Raw_Data!A774)</f>
        <v/>
      </c>
      <c r="B774" s="5">
        <f>Raw_Data!B774</f>
        <v/>
      </c>
      <c r="C774" s="4">
        <f>TRIM(Raw_Data!C774)</f>
        <v/>
      </c>
      <c r="D774" s="4">
        <f>PROPER(TRIM(Raw_Data!D774))</f>
        <v/>
      </c>
      <c r="E774" s="4">
        <f>Raw_Data!E774</f>
        <v/>
      </c>
      <c r="F774" s="6">
        <f>ROUND(Raw_Data!F774,2)</f>
        <v/>
      </c>
      <c r="G774" s="4">
        <f>PROPER(TRIM(Raw_Data!G774))</f>
        <v/>
      </c>
      <c r="H774" s="4">
        <f>PROPER(TRIM(Raw_Data!H774))</f>
        <v/>
      </c>
      <c r="I774" s="4">
        <f>PROPER(TRIM(Raw_Data!I774))</f>
        <v/>
      </c>
      <c r="J774" s="4">
        <f>TRIM(Raw_Data!J774)</f>
        <v/>
      </c>
      <c r="K774" s="4">
        <f>Raw_Data!K774</f>
        <v/>
      </c>
      <c r="L774" s="4">
        <f>IF(TRIM(Raw_Data!L774)="","No Coupon",TRIM(Raw_Data!L774))</f>
        <v/>
      </c>
      <c r="M774" s="4">
        <f>PROPER(TRIM(Raw_Data!M774))</f>
        <v/>
      </c>
      <c r="N774" s="6">
        <f>ROUND(Raw_Data!N774,2)</f>
        <v/>
      </c>
      <c r="O774" s="7">
        <f>IF(COUNTIF($A$2:$A$1201,A774)&gt;1,"DUPLICATE","Unique")</f>
        <v/>
      </c>
      <c r="P774" s="7">
        <f>IF(COUNTIF($J$2:$J$1201,J774)&gt;1,"DUPLICATE","Unique")</f>
        <v/>
      </c>
      <c r="Q774" s="4">
        <f>IF(TRIM(Raw_Data!L774)="","Yes","No")</f>
        <v/>
      </c>
      <c r="R774" s="4">
        <f>IF(ISNUMBER(B774),"Valid","INVALID")</f>
        <v/>
      </c>
    </row>
    <row r="775">
      <c r="A775" s="4">
        <f>TRIM(Raw_Data!A775)</f>
        <v/>
      </c>
      <c r="B775" s="5">
        <f>Raw_Data!B775</f>
        <v/>
      </c>
      <c r="C775" s="4">
        <f>TRIM(Raw_Data!C775)</f>
        <v/>
      </c>
      <c r="D775" s="4">
        <f>PROPER(TRIM(Raw_Data!D775))</f>
        <v/>
      </c>
      <c r="E775" s="4">
        <f>Raw_Data!E775</f>
        <v/>
      </c>
      <c r="F775" s="6">
        <f>ROUND(Raw_Data!F775,2)</f>
        <v/>
      </c>
      <c r="G775" s="4">
        <f>PROPER(TRIM(Raw_Data!G775))</f>
        <v/>
      </c>
      <c r="H775" s="4">
        <f>PROPER(TRIM(Raw_Data!H775))</f>
        <v/>
      </c>
      <c r="I775" s="4">
        <f>PROPER(TRIM(Raw_Data!I775))</f>
        <v/>
      </c>
      <c r="J775" s="4">
        <f>TRIM(Raw_Data!J775)</f>
        <v/>
      </c>
      <c r="K775" s="4">
        <f>Raw_Data!K775</f>
        <v/>
      </c>
      <c r="L775" s="4">
        <f>IF(TRIM(Raw_Data!L775)="","No Coupon",TRIM(Raw_Data!L775))</f>
        <v/>
      </c>
      <c r="M775" s="4">
        <f>PROPER(TRIM(Raw_Data!M775))</f>
        <v/>
      </c>
      <c r="N775" s="6">
        <f>ROUND(Raw_Data!N775,2)</f>
        <v/>
      </c>
      <c r="O775" s="7">
        <f>IF(COUNTIF($A$2:$A$1201,A775)&gt;1,"DUPLICATE","Unique")</f>
        <v/>
      </c>
      <c r="P775" s="7">
        <f>IF(COUNTIF($J$2:$J$1201,J775)&gt;1,"DUPLICATE","Unique")</f>
        <v/>
      </c>
      <c r="Q775" s="4">
        <f>IF(TRIM(Raw_Data!L775)="","Yes","No")</f>
        <v/>
      </c>
      <c r="R775" s="4">
        <f>IF(ISNUMBER(B775),"Valid","INVALID")</f>
        <v/>
      </c>
    </row>
    <row r="776">
      <c r="A776" s="4">
        <f>TRIM(Raw_Data!A776)</f>
        <v/>
      </c>
      <c r="B776" s="5">
        <f>Raw_Data!B776</f>
        <v/>
      </c>
      <c r="C776" s="4">
        <f>TRIM(Raw_Data!C776)</f>
        <v/>
      </c>
      <c r="D776" s="4">
        <f>PROPER(TRIM(Raw_Data!D776))</f>
        <v/>
      </c>
      <c r="E776" s="4">
        <f>Raw_Data!E776</f>
        <v/>
      </c>
      <c r="F776" s="6">
        <f>ROUND(Raw_Data!F776,2)</f>
        <v/>
      </c>
      <c r="G776" s="4">
        <f>PROPER(TRIM(Raw_Data!G776))</f>
        <v/>
      </c>
      <c r="H776" s="4">
        <f>PROPER(TRIM(Raw_Data!H776))</f>
        <v/>
      </c>
      <c r="I776" s="4">
        <f>PROPER(TRIM(Raw_Data!I776))</f>
        <v/>
      </c>
      <c r="J776" s="4">
        <f>TRIM(Raw_Data!J776)</f>
        <v/>
      </c>
      <c r="K776" s="4">
        <f>Raw_Data!K776</f>
        <v/>
      </c>
      <c r="L776" s="4">
        <f>IF(TRIM(Raw_Data!L776)="","No Coupon",TRIM(Raw_Data!L776))</f>
        <v/>
      </c>
      <c r="M776" s="4">
        <f>PROPER(TRIM(Raw_Data!M776))</f>
        <v/>
      </c>
      <c r="N776" s="6">
        <f>ROUND(Raw_Data!N776,2)</f>
        <v/>
      </c>
      <c r="O776" s="7">
        <f>IF(COUNTIF($A$2:$A$1201,A776)&gt;1,"DUPLICATE","Unique")</f>
        <v/>
      </c>
      <c r="P776" s="7">
        <f>IF(COUNTIF($J$2:$J$1201,J776)&gt;1,"DUPLICATE","Unique")</f>
        <v/>
      </c>
      <c r="Q776" s="4">
        <f>IF(TRIM(Raw_Data!L776)="","Yes","No")</f>
        <v/>
      </c>
      <c r="R776" s="4">
        <f>IF(ISNUMBER(B776),"Valid","INVALID")</f>
        <v/>
      </c>
    </row>
    <row r="777">
      <c r="A777" s="4">
        <f>TRIM(Raw_Data!A777)</f>
        <v/>
      </c>
      <c r="B777" s="5">
        <f>Raw_Data!B777</f>
        <v/>
      </c>
      <c r="C777" s="4">
        <f>TRIM(Raw_Data!C777)</f>
        <v/>
      </c>
      <c r="D777" s="4">
        <f>PROPER(TRIM(Raw_Data!D777))</f>
        <v/>
      </c>
      <c r="E777" s="4">
        <f>Raw_Data!E777</f>
        <v/>
      </c>
      <c r="F777" s="6">
        <f>ROUND(Raw_Data!F777,2)</f>
        <v/>
      </c>
      <c r="G777" s="4">
        <f>PROPER(TRIM(Raw_Data!G777))</f>
        <v/>
      </c>
      <c r="H777" s="4">
        <f>PROPER(TRIM(Raw_Data!H777))</f>
        <v/>
      </c>
      <c r="I777" s="4">
        <f>PROPER(TRIM(Raw_Data!I777))</f>
        <v/>
      </c>
      <c r="J777" s="4">
        <f>TRIM(Raw_Data!J777)</f>
        <v/>
      </c>
      <c r="K777" s="4">
        <f>Raw_Data!K777</f>
        <v/>
      </c>
      <c r="L777" s="4">
        <f>IF(TRIM(Raw_Data!L777)="","No Coupon",TRIM(Raw_Data!L777))</f>
        <v/>
      </c>
      <c r="M777" s="4">
        <f>PROPER(TRIM(Raw_Data!M777))</f>
        <v/>
      </c>
      <c r="N777" s="6">
        <f>ROUND(Raw_Data!N777,2)</f>
        <v/>
      </c>
      <c r="O777" s="7">
        <f>IF(COUNTIF($A$2:$A$1201,A777)&gt;1,"DUPLICATE","Unique")</f>
        <v/>
      </c>
      <c r="P777" s="7">
        <f>IF(COUNTIF($J$2:$J$1201,J777)&gt;1,"DUPLICATE","Unique")</f>
        <v/>
      </c>
      <c r="Q777" s="4">
        <f>IF(TRIM(Raw_Data!L777)="","Yes","No")</f>
        <v/>
      </c>
      <c r="R777" s="4">
        <f>IF(ISNUMBER(B777),"Valid","INVALID")</f>
        <v/>
      </c>
    </row>
    <row r="778">
      <c r="A778" s="4">
        <f>TRIM(Raw_Data!A778)</f>
        <v/>
      </c>
      <c r="B778" s="5">
        <f>Raw_Data!B778</f>
        <v/>
      </c>
      <c r="C778" s="4">
        <f>TRIM(Raw_Data!C778)</f>
        <v/>
      </c>
      <c r="D778" s="4">
        <f>PROPER(TRIM(Raw_Data!D778))</f>
        <v/>
      </c>
      <c r="E778" s="4">
        <f>Raw_Data!E778</f>
        <v/>
      </c>
      <c r="F778" s="6">
        <f>ROUND(Raw_Data!F778,2)</f>
        <v/>
      </c>
      <c r="G778" s="4">
        <f>PROPER(TRIM(Raw_Data!G778))</f>
        <v/>
      </c>
      <c r="H778" s="4">
        <f>PROPER(TRIM(Raw_Data!H778))</f>
        <v/>
      </c>
      <c r="I778" s="4">
        <f>PROPER(TRIM(Raw_Data!I778))</f>
        <v/>
      </c>
      <c r="J778" s="4">
        <f>TRIM(Raw_Data!J778)</f>
        <v/>
      </c>
      <c r="K778" s="4">
        <f>Raw_Data!K778</f>
        <v/>
      </c>
      <c r="L778" s="4">
        <f>IF(TRIM(Raw_Data!L778)="","No Coupon",TRIM(Raw_Data!L778))</f>
        <v/>
      </c>
      <c r="M778" s="4">
        <f>PROPER(TRIM(Raw_Data!M778))</f>
        <v/>
      </c>
      <c r="N778" s="6">
        <f>ROUND(Raw_Data!N778,2)</f>
        <v/>
      </c>
      <c r="O778" s="7">
        <f>IF(COUNTIF($A$2:$A$1201,A778)&gt;1,"DUPLICATE","Unique")</f>
        <v/>
      </c>
      <c r="P778" s="7">
        <f>IF(COUNTIF($J$2:$J$1201,J778)&gt;1,"DUPLICATE","Unique")</f>
        <v/>
      </c>
      <c r="Q778" s="4">
        <f>IF(TRIM(Raw_Data!L778)="","Yes","No")</f>
        <v/>
      </c>
      <c r="R778" s="4">
        <f>IF(ISNUMBER(B778),"Valid","INVALID")</f>
        <v/>
      </c>
    </row>
    <row r="779">
      <c r="A779" s="4">
        <f>TRIM(Raw_Data!A779)</f>
        <v/>
      </c>
      <c r="B779" s="5">
        <f>Raw_Data!B779</f>
        <v/>
      </c>
      <c r="C779" s="4">
        <f>TRIM(Raw_Data!C779)</f>
        <v/>
      </c>
      <c r="D779" s="4">
        <f>PROPER(TRIM(Raw_Data!D779))</f>
        <v/>
      </c>
      <c r="E779" s="4">
        <f>Raw_Data!E779</f>
        <v/>
      </c>
      <c r="F779" s="6">
        <f>ROUND(Raw_Data!F779,2)</f>
        <v/>
      </c>
      <c r="G779" s="4">
        <f>PROPER(TRIM(Raw_Data!G779))</f>
        <v/>
      </c>
      <c r="H779" s="4">
        <f>PROPER(TRIM(Raw_Data!H779))</f>
        <v/>
      </c>
      <c r="I779" s="4">
        <f>PROPER(TRIM(Raw_Data!I779))</f>
        <v/>
      </c>
      <c r="J779" s="4">
        <f>TRIM(Raw_Data!J779)</f>
        <v/>
      </c>
      <c r="K779" s="4">
        <f>Raw_Data!K779</f>
        <v/>
      </c>
      <c r="L779" s="4">
        <f>IF(TRIM(Raw_Data!L779)="","No Coupon",TRIM(Raw_Data!L779))</f>
        <v/>
      </c>
      <c r="M779" s="4">
        <f>PROPER(TRIM(Raw_Data!M779))</f>
        <v/>
      </c>
      <c r="N779" s="6">
        <f>ROUND(Raw_Data!N779,2)</f>
        <v/>
      </c>
      <c r="O779" s="7">
        <f>IF(COUNTIF($A$2:$A$1201,A779)&gt;1,"DUPLICATE","Unique")</f>
        <v/>
      </c>
      <c r="P779" s="7">
        <f>IF(COUNTIF($J$2:$J$1201,J779)&gt;1,"DUPLICATE","Unique")</f>
        <v/>
      </c>
      <c r="Q779" s="4">
        <f>IF(TRIM(Raw_Data!L779)="","Yes","No")</f>
        <v/>
      </c>
      <c r="R779" s="4">
        <f>IF(ISNUMBER(B779),"Valid","INVALID")</f>
        <v/>
      </c>
    </row>
    <row r="780">
      <c r="A780" s="4">
        <f>TRIM(Raw_Data!A780)</f>
        <v/>
      </c>
      <c r="B780" s="5">
        <f>Raw_Data!B780</f>
        <v/>
      </c>
      <c r="C780" s="4">
        <f>TRIM(Raw_Data!C780)</f>
        <v/>
      </c>
      <c r="D780" s="4">
        <f>PROPER(TRIM(Raw_Data!D780))</f>
        <v/>
      </c>
      <c r="E780" s="4">
        <f>Raw_Data!E780</f>
        <v/>
      </c>
      <c r="F780" s="6">
        <f>ROUND(Raw_Data!F780,2)</f>
        <v/>
      </c>
      <c r="G780" s="4">
        <f>PROPER(TRIM(Raw_Data!G780))</f>
        <v/>
      </c>
      <c r="H780" s="4">
        <f>PROPER(TRIM(Raw_Data!H780))</f>
        <v/>
      </c>
      <c r="I780" s="4">
        <f>PROPER(TRIM(Raw_Data!I780))</f>
        <v/>
      </c>
      <c r="J780" s="4">
        <f>TRIM(Raw_Data!J780)</f>
        <v/>
      </c>
      <c r="K780" s="4">
        <f>Raw_Data!K780</f>
        <v/>
      </c>
      <c r="L780" s="4">
        <f>IF(TRIM(Raw_Data!L780)="","No Coupon",TRIM(Raw_Data!L780))</f>
        <v/>
      </c>
      <c r="M780" s="4">
        <f>PROPER(TRIM(Raw_Data!M780))</f>
        <v/>
      </c>
      <c r="N780" s="6">
        <f>ROUND(Raw_Data!N780,2)</f>
        <v/>
      </c>
      <c r="O780" s="7">
        <f>IF(COUNTIF($A$2:$A$1201,A780)&gt;1,"DUPLICATE","Unique")</f>
        <v/>
      </c>
      <c r="P780" s="7">
        <f>IF(COUNTIF($J$2:$J$1201,J780)&gt;1,"DUPLICATE","Unique")</f>
        <v/>
      </c>
      <c r="Q780" s="4">
        <f>IF(TRIM(Raw_Data!L780)="","Yes","No")</f>
        <v/>
      </c>
      <c r="R780" s="4">
        <f>IF(ISNUMBER(B780),"Valid","INVALID")</f>
        <v/>
      </c>
    </row>
    <row r="781">
      <c r="A781" s="4">
        <f>TRIM(Raw_Data!A781)</f>
        <v/>
      </c>
      <c r="B781" s="5">
        <f>Raw_Data!B781</f>
        <v/>
      </c>
      <c r="C781" s="4">
        <f>TRIM(Raw_Data!C781)</f>
        <v/>
      </c>
      <c r="D781" s="4">
        <f>PROPER(TRIM(Raw_Data!D781))</f>
        <v/>
      </c>
      <c r="E781" s="4">
        <f>Raw_Data!E781</f>
        <v/>
      </c>
      <c r="F781" s="6">
        <f>ROUND(Raw_Data!F781,2)</f>
        <v/>
      </c>
      <c r="G781" s="4">
        <f>PROPER(TRIM(Raw_Data!G781))</f>
        <v/>
      </c>
      <c r="H781" s="4">
        <f>PROPER(TRIM(Raw_Data!H781))</f>
        <v/>
      </c>
      <c r="I781" s="4">
        <f>PROPER(TRIM(Raw_Data!I781))</f>
        <v/>
      </c>
      <c r="J781" s="4">
        <f>TRIM(Raw_Data!J781)</f>
        <v/>
      </c>
      <c r="K781" s="4">
        <f>Raw_Data!K781</f>
        <v/>
      </c>
      <c r="L781" s="4">
        <f>IF(TRIM(Raw_Data!L781)="","No Coupon",TRIM(Raw_Data!L781))</f>
        <v/>
      </c>
      <c r="M781" s="4">
        <f>PROPER(TRIM(Raw_Data!M781))</f>
        <v/>
      </c>
      <c r="N781" s="6">
        <f>ROUND(Raw_Data!N781,2)</f>
        <v/>
      </c>
      <c r="O781" s="7">
        <f>IF(COUNTIF($A$2:$A$1201,A781)&gt;1,"DUPLICATE","Unique")</f>
        <v/>
      </c>
      <c r="P781" s="7">
        <f>IF(COUNTIF($J$2:$J$1201,J781)&gt;1,"DUPLICATE","Unique")</f>
        <v/>
      </c>
      <c r="Q781" s="4">
        <f>IF(TRIM(Raw_Data!L781)="","Yes","No")</f>
        <v/>
      </c>
      <c r="R781" s="4">
        <f>IF(ISNUMBER(B781),"Valid","INVALID")</f>
        <v/>
      </c>
    </row>
    <row r="782">
      <c r="A782" s="4">
        <f>TRIM(Raw_Data!A782)</f>
        <v/>
      </c>
      <c r="B782" s="5">
        <f>Raw_Data!B782</f>
        <v/>
      </c>
      <c r="C782" s="4">
        <f>TRIM(Raw_Data!C782)</f>
        <v/>
      </c>
      <c r="D782" s="4">
        <f>PROPER(TRIM(Raw_Data!D782))</f>
        <v/>
      </c>
      <c r="E782" s="4">
        <f>Raw_Data!E782</f>
        <v/>
      </c>
      <c r="F782" s="6">
        <f>ROUND(Raw_Data!F782,2)</f>
        <v/>
      </c>
      <c r="G782" s="4">
        <f>PROPER(TRIM(Raw_Data!G782))</f>
        <v/>
      </c>
      <c r="H782" s="4">
        <f>PROPER(TRIM(Raw_Data!H782))</f>
        <v/>
      </c>
      <c r="I782" s="4">
        <f>PROPER(TRIM(Raw_Data!I782))</f>
        <v/>
      </c>
      <c r="J782" s="4">
        <f>TRIM(Raw_Data!J782)</f>
        <v/>
      </c>
      <c r="K782" s="4">
        <f>Raw_Data!K782</f>
        <v/>
      </c>
      <c r="L782" s="4">
        <f>IF(TRIM(Raw_Data!L782)="","No Coupon",TRIM(Raw_Data!L782))</f>
        <v/>
      </c>
      <c r="M782" s="4">
        <f>PROPER(TRIM(Raw_Data!M782))</f>
        <v/>
      </c>
      <c r="N782" s="6">
        <f>ROUND(Raw_Data!N782,2)</f>
        <v/>
      </c>
      <c r="O782" s="7">
        <f>IF(COUNTIF($A$2:$A$1201,A782)&gt;1,"DUPLICATE","Unique")</f>
        <v/>
      </c>
      <c r="P782" s="7">
        <f>IF(COUNTIF($J$2:$J$1201,J782)&gt;1,"DUPLICATE","Unique")</f>
        <v/>
      </c>
      <c r="Q782" s="4">
        <f>IF(TRIM(Raw_Data!L782)="","Yes","No")</f>
        <v/>
      </c>
      <c r="R782" s="4">
        <f>IF(ISNUMBER(B782),"Valid","INVALID")</f>
        <v/>
      </c>
    </row>
    <row r="783">
      <c r="A783" s="4">
        <f>TRIM(Raw_Data!A783)</f>
        <v/>
      </c>
      <c r="B783" s="5">
        <f>Raw_Data!B783</f>
        <v/>
      </c>
      <c r="C783" s="4">
        <f>TRIM(Raw_Data!C783)</f>
        <v/>
      </c>
      <c r="D783" s="4">
        <f>PROPER(TRIM(Raw_Data!D783))</f>
        <v/>
      </c>
      <c r="E783" s="4">
        <f>Raw_Data!E783</f>
        <v/>
      </c>
      <c r="F783" s="6">
        <f>ROUND(Raw_Data!F783,2)</f>
        <v/>
      </c>
      <c r="G783" s="4">
        <f>PROPER(TRIM(Raw_Data!G783))</f>
        <v/>
      </c>
      <c r="H783" s="4">
        <f>PROPER(TRIM(Raw_Data!H783))</f>
        <v/>
      </c>
      <c r="I783" s="4">
        <f>PROPER(TRIM(Raw_Data!I783))</f>
        <v/>
      </c>
      <c r="J783" s="4">
        <f>TRIM(Raw_Data!J783)</f>
        <v/>
      </c>
      <c r="K783" s="4">
        <f>Raw_Data!K783</f>
        <v/>
      </c>
      <c r="L783" s="4">
        <f>IF(TRIM(Raw_Data!L783)="","No Coupon",TRIM(Raw_Data!L783))</f>
        <v/>
      </c>
      <c r="M783" s="4">
        <f>PROPER(TRIM(Raw_Data!M783))</f>
        <v/>
      </c>
      <c r="N783" s="6">
        <f>ROUND(Raw_Data!N783,2)</f>
        <v/>
      </c>
      <c r="O783" s="7">
        <f>IF(COUNTIF($A$2:$A$1201,A783)&gt;1,"DUPLICATE","Unique")</f>
        <v/>
      </c>
      <c r="P783" s="7">
        <f>IF(COUNTIF($J$2:$J$1201,J783)&gt;1,"DUPLICATE","Unique")</f>
        <v/>
      </c>
      <c r="Q783" s="4">
        <f>IF(TRIM(Raw_Data!L783)="","Yes","No")</f>
        <v/>
      </c>
      <c r="R783" s="4">
        <f>IF(ISNUMBER(B783),"Valid","INVALID")</f>
        <v/>
      </c>
    </row>
    <row r="784">
      <c r="A784" s="4">
        <f>TRIM(Raw_Data!A784)</f>
        <v/>
      </c>
      <c r="B784" s="5">
        <f>Raw_Data!B784</f>
        <v/>
      </c>
      <c r="C784" s="4">
        <f>TRIM(Raw_Data!C784)</f>
        <v/>
      </c>
      <c r="D784" s="4">
        <f>PROPER(TRIM(Raw_Data!D784))</f>
        <v/>
      </c>
      <c r="E784" s="4">
        <f>Raw_Data!E784</f>
        <v/>
      </c>
      <c r="F784" s="6">
        <f>ROUND(Raw_Data!F784,2)</f>
        <v/>
      </c>
      <c r="G784" s="4">
        <f>PROPER(TRIM(Raw_Data!G784))</f>
        <v/>
      </c>
      <c r="H784" s="4">
        <f>PROPER(TRIM(Raw_Data!H784))</f>
        <v/>
      </c>
      <c r="I784" s="4">
        <f>PROPER(TRIM(Raw_Data!I784))</f>
        <v/>
      </c>
      <c r="J784" s="4">
        <f>TRIM(Raw_Data!J784)</f>
        <v/>
      </c>
      <c r="K784" s="4">
        <f>Raw_Data!K784</f>
        <v/>
      </c>
      <c r="L784" s="4">
        <f>IF(TRIM(Raw_Data!L784)="","No Coupon",TRIM(Raw_Data!L784))</f>
        <v/>
      </c>
      <c r="M784" s="4">
        <f>PROPER(TRIM(Raw_Data!M784))</f>
        <v/>
      </c>
      <c r="N784" s="6">
        <f>ROUND(Raw_Data!N784,2)</f>
        <v/>
      </c>
      <c r="O784" s="7">
        <f>IF(COUNTIF($A$2:$A$1201,A784)&gt;1,"DUPLICATE","Unique")</f>
        <v/>
      </c>
      <c r="P784" s="7">
        <f>IF(COUNTIF($J$2:$J$1201,J784)&gt;1,"DUPLICATE","Unique")</f>
        <v/>
      </c>
      <c r="Q784" s="4">
        <f>IF(TRIM(Raw_Data!L784)="","Yes","No")</f>
        <v/>
      </c>
      <c r="R784" s="4">
        <f>IF(ISNUMBER(B784),"Valid","INVALID")</f>
        <v/>
      </c>
    </row>
    <row r="785">
      <c r="A785" s="4">
        <f>TRIM(Raw_Data!A785)</f>
        <v/>
      </c>
      <c r="B785" s="5">
        <f>Raw_Data!B785</f>
        <v/>
      </c>
      <c r="C785" s="4">
        <f>TRIM(Raw_Data!C785)</f>
        <v/>
      </c>
      <c r="D785" s="4">
        <f>PROPER(TRIM(Raw_Data!D785))</f>
        <v/>
      </c>
      <c r="E785" s="4">
        <f>Raw_Data!E785</f>
        <v/>
      </c>
      <c r="F785" s="6">
        <f>ROUND(Raw_Data!F785,2)</f>
        <v/>
      </c>
      <c r="G785" s="4">
        <f>PROPER(TRIM(Raw_Data!G785))</f>
        <v/>
      </c>
      <c r="H785" s="4">
        <f>PROPER(TRIM(Raw_Data!H785))</f>
        <v/>
      </c>
      <c r="I785" s="4">
        <f>PROPER(TRIM(Raw_Data!I785))</f>
        <v/>
      </c>
      <c r="J785" s="4">
        <f>TRIM(Raw_Data!J785)</f>
        <v/>
      </c>
      <c r="K785" s="4">
        <f>Raw_Data!K785</f>
        <v/>
      </c>
      <c r="L785" s="4">
        <f>IF(TRIM(Raw_Data!L785)="","No Coupon",TRIM(Raw_Data!L785))</f>
        <v/>
      </c>
      <c r="M785" s="4">
        <f>PROPER(TRIM(Raw_Data!M785))</f>
        <v/>
      </c>
      <c r="N785" s="6">
        <f>ROUND(Raw_Data!N785,2)</f>
        <v/>
      </c>
      <c r="O785" s="7">
        <f>IF(COUNTIF($A$2:$A$1201,A785)&gt;1,"DUPLICATE","Unique")</f>
        <v/>
      </c>
      <c r="P785" s="7">
        <f>IF(COUNTIF($J$2:$J$1201,J785)&gt;1,"DUPLICATE","Unique")</f>
        <v/>
      </c>
      <c r="Q785" s="4">
        <f>IF(TRIM(Raw_Data!L785)="","Yes","No")</f>
        <v/>
      </c>
      <c r="R785" s="4">
        <f>IF(ISNUMBER(B785),"Valid","INVALID")</f>
        <v/>
      </c>
    </row>
    <row r="786">
      <c r="A786" s="4">
        <f>TRIM(Raw_Data!A786)</f>
        <v/>
      </c>
      <c r="B786" s="5">
        <f>Raw_Data!B786</f>
        <v/>
      </c>
      <c r="C786" s="4">
        <f>TRIM(Raw_Data!C786)</f>
        <v/>
      </c>
      <c r="D786" s="4">
        <f>PROPER(TRIM(Raw_Data!D786))</f>
        <v/>
      </c>
      <c r="E786" s="4">
        <f>Raw_Data!E786</f>
        <v/>
      </c>
      <c r="F786" s="6">
        <f>ROUND(Raw_Data!F786,2)</f>
        <v/>
      </c>
      <c r="G786" s="4">
        <f>PROPER(TRIM(Raw_Data!G786))</f>
        <v/>
      </c>
      <c r="H786" s="4">
        <f>PROPER(TRIM(Raw_Data!H786))</f>
        <v/>
      </c>
      <c r="I786" s="4">
        <f>PROPER(TRIM(Raw_Data!I786))</f>
        <v/>
      </c>
      <c r="J786" s="4">
        <f>TRIM(Raw_Data!J786)</f>
        <v/>
      </c>
      <c r="K786" s="4">
        <f>Raw_Data!K786</f>
        <v/>
      </c>
      <c r="L786" s="4">
        <f>IF(TRIM(Raw_Data!L786)="","No Coupon",TRIM(Raw_Data!L786))</f>
        <v/>
      </c>
      <c r="M786" s="4">
        <f>PROPER(TRIM(Raw_Data!M786))</f>
        <v/>
      </c>
      <c r="N786" s="6">
        <f>ROUND(Raw_Data!N786,2)</f>
        <v/>
      </c>
      <c r="O786" s="7">
        <f>IF(COUNTIF($A$2:$A$1201,A786)&gt;1,"DUPLICATE","Unique")</f>
        <v/>
      </c>
      <c r="P786" s="7">
        <f>IF(COUNTIF($J$2:$J$1201,J786)&gt;1,"DUPLICATE","Unique")</f>
        <v/>
      </c>
      <c r="Q786" s="4">
        <f>IF(TRIM(Raw_Data!L786)="","Yes","No")</f>
        <v/>
      </c>
      <c r="R786" s="4">
        <f>IF(ISNUMBER(B786),"Valid","INVALID")</f>
        <v/>
      </c>
    </row>
    <row r="787">
      <c r="A787" s="4">
        <f>TRIM(Raw_Data!A787)</f>
        <v/>
      </c>
      <c r="B787" s="5">
        <f>Raw_Data!B787</f>
        <v/>
      </c>
      <c r="C787" s="4">
        <f>TRIM(Raw_Data!C787)</f>
        <v/>
      </c>
      <c r="D787" s="4">
        <f>PROPER(TRIM(Raw_Data!D787))</f>
        <v/>
      </c>
      <c r="E787" s="4">
        <f>Raw_Data!E787</f>
        <v/>
      </c>
      <c r="F787" s="6">
        <f>ROUND(Raw_Data!F787,2)</f>
        <v/>
      </c>
      <c r="G787" s="4">
        <f>PROPER(TRIM(Raw_Data!G787))</f>
        <v/>
      </c>
      <c r="H787" s="4">
        <f>PROPER(TRIM(Raw_Data!H787))</f>
        <v/>
      </c>
      <c r="I787" s="4">
        <f>PROPER(TRIM(Raw_Data!I787))</f>
        <v/>
      </c>
      <c r="J787" s="4">
        <f>TRIM(Raw_Data!J787)</f>
        <v/>
      </c>
      <c r="K787" s="4">
        <f>Raw_Data!K787</f>
        <v/>
      </c>
      <c r="L787" s="4">
        <f>IF(TRIM(Raw_Data!L787)="","No Coupon",TRIM(Raw_Data!L787))</f>
        <v/>
      </c>
      <c r="M787" s="4">
        <f>PROPER(TRIM(Raw_Data!M787))</f>
        <v/>
      </c>
      <c r="N787" s="6">
        <f>ROUND(Raw_Data!N787,2)</f>
        <v/>
      </c>
      <c r="O787" s="7">
        <f>IF(COUNTIF($A$2:$A$1201,A787)&gt;1,"DUPLICATE","Unique")</f>
        <v/>
      </c>
      <c r="P787" s="7">
        <f>IF(COUNTIF($J$2:$J$1201,J787)&gt;1,"DUPLICATE","Unique")</f>
        <v/>
      </c>
      <c r="Q787" s="4">
        <f>IF(TRIM(Raw_Data!L787)="","Yes","No")</f>
        <v/>
      </c>
      <c r="R787" s="4">
        <f>IF(ISNUMBER(B787),"Valid","INVALID")</f>
        <v/>
      </c>
    </row>
    <row r="788">
      <c r="A788" s="4">
        <f>TRIM(Raw_Data!A788)</f>
        <v/>
      </c>
      <c r="B788" s="5">
        <f>Raw_Data!B788</f>
        <v/>
      </c>
      <c r="C788" s="4">
        <f>TRIM(Raw_Data!C788)</f>
        <v/>
      </c>
      <c r="D788" s="4">
        <f>PROPER(TRIM(Raw_Data!D788))</f>
        <v/>
      </c>
      <c r="E788" s="4">
        <f>Raw_Data!E788</f>
        <v/>
      </c>
      <c r="F788" s="6">
        <f>ROUND(Raw_Data!F788,2)</f>
        <v/>
      </c>
      <c r="G788" s="4">
        <f>PROPER(TRIM(Raw_Data!G788))</f>
        <v/>
      </c>
      <c r="H788" s="4">
        <f>PROPER(TRIM(Raw_Data!H788))</f>
        <v/>
      </c>
      <c r="I788" s="4">
        <f>PROPER(TRIM(Raw_Data!I788))</f>
        <v/>
      </c>
      <c r="J788" s="4">
        <f>TRIM(Raw_Data!J788)</f>
        <v/>
      </c>
      <c r="K788" s="4">
        <f>Raw_Data!K788</f>
        <v/>
      </c>
      <c r="L788" s="4">
        <f>IF(TRIM(Raw_Data!L788)="","No Coupon",TRIM(Raw_Data!L788))</f>
        <v/>
      </c>
      <c r="M788" s="4">
        <f>PROPER(TRIM(Raw_Data!M788))</f>
        <v/>
      </c>
      <c r="N788" s="6">
        <f>ROUND(Raw_Data!N788,2)</f>
        <v/>
      </c>
      <c r="O788" s="7">
        <f>IF(COUNTIF($A$2:$A$1201,A788)&gt;1,"DUPLICATE","Unique")</f>
        <v/>
      </c>
      <c r="P788" s="7">
        <f>IF(COUNTIF($J$2:$J$1201,J788)&gt;1,"DUPLICATE","Unique")</f>
        <v/>
      </c>
      <c r="Q788" s="4">
        <f>IF(TRIM(Raw_Data!L788)="","Yes","No")</f>
        <v/>
      </c>
      <c r="R788" s="4">
        <f>IF(ISNUMBER(B788),"Valid","INVALID")</f>
        <v/>
      </c>
    </row>
    <row r="789">
      <c r="A789" s="4">
        <f>TRIM(Raw_Data!A789)</f>
        <v/>
      </c>
      <c r="B789" s="5">
        <f>Raw_Data!B789</f>
        <v/>
      </c>
      <c r="C789" s="4">
        <f>TRIM(Raw_Data!C789)</f>
        <v/>
      </c>
      <c r="D789" s="4">
        <f>PROPER(TRIM(Raw_Data!D789))</f>
        <v/>
      </c>
      <c r="E789" s="4">
        <f>Raw_Data!E789</f>
        <v/>
      </c>
      <c r="F789" s="6">
        <f>ROUND(Raw_Data!F789,2)</f>
        <v/>
      </c>
      <c r="G789" s="4">
        <f>PROPER(TRIM(Raw_Data!G789))</f>
        <v/>
      </c>
      <c r="H789" s="4">
        <f>PROPER(TRIM(Raw_Data!H789))</f>
        <v/>
      </c>
      <c r="I789" s="4">
        <f>PROPER(TRIM(Raw_Data!I789))</f>
        <v/>
      </c>
      <c r="J789" s="4">
        <f>TRIM(Raw_Data!J789)</f>
        <v/>
      </c>
      <c r="K789" s="4">
        <f>Raw_Data!K789</f>
        <v/>
      </c>
      <c r="L789" s="4">
        <f>IF(TRIM(Raw_Data!L789)="","No Coupon",TRIM(Raw_Data!L789))</f>
        <v/>
      </c>
      <c r="M789" s="4">
        <f>PROPER(TRIM(Raw_Data!M789))</f>
        <v/>
      </c>
      <c r="N789" s="6">
        <f>ROUND(Raw_Data!N789,2)</f>
        <v/>
      </c>
      <c r="O789" s="7">
        <f>IF(COUNTIF($A$2:$A$1201,A789)&gt;1,"DUPLICATE","Unique")</f>
        <v/>
      </c>
      <c r="P789" s="7">
        <f>IF(COUNTIF($J$2:$J$1201,J789)&gt;1,"DUPLICATE","Unique")</f>
        <v/>
      </c>
      <c r="Q789" s="4">
        <f>IF(TRIM(Raw_Data!L789)="","Yes","No")</f>
        <v/>
      </c>
      <c r="R789" s="4">
        <f>IF(ISNUMBER(B789),"Valid","INVALID")</f>
        <v/>
      </c>
    </row>
    <row r="790">
      <c r="A790" s="4">
        <f>TRIM(Raw_Data!A790)</f>
        <v/>
      </c>
      <c r="B790" s="5">
        <f>Raw_Data!B790</f>
        <v/>
      </c>
      <c r="C790" s="4">
        <f>TRIM(Raw_Data!C790)</f>
        <v/>
      </c>
      <c r="D790" s="4">
        <f>PROPER(TRIM(Raw_Data!D790))</f>
        <v/>
      </c>
      <c r="E790" s="4">
        <f>Raw_Data!E790</f>
        <v/>
      </c>
      <c r="F790" s="6">
        <f>ROUND(Raw_Data!F790,2)</f>
        <v/>
      </c>
      <c r="G790" s="4">
        <f>PROPER(TRIM(Raw_Data!G790))</f>
        <v/>
      </c>
      <c r="H790" s="4">
        <f>PROPER(TRIM(Raw_Data!H790))</f>
        <v/>
      </c>
      <c r="I790" s="4">
        <f>PROPER(TRIM(Raw_Data!I790))</f>
        <v/>
      </c>
      <c r="J790" s="4">
        <f>TRIM(Raw_Data!J790)</f>
        <v/>
      </c>
      <c r="K790" s="4">
        <f>Raw_Data!K790</f>
        <v/>
      </c>
      <c r="L790" s="4">
        <f>IF(TRIM(Raw_Data!L790)="","No Coupon",TRIM(Raw_Data!L790))</f>
        <v/>
      </c>
      <c r="M790" s="4">
        <f>PROPER(TRIM(Raw_Data!M790))</f>
        <v/>
      </c>
      <c r="N790" s="6">
        <f>ROUND(Raw_Data!N790,2)</f>
        <v/>
      </c>
      <c r="O790" s="7">
        <f>IF(COUNTIF($A$2:$A$1201,A790)&gt;1,"DUPLICATE","Unique")</f>
        <v/>
      </c>
      <c r="P790" s="7">
        <f>IF(COUNTIF($J$2:$J$1201,J790)&gt;1,"DUPLICATE","Unique")</f>
        <v/>
      </c>
      <c r="Q790" s="4">
        <f>IF(TRIM(Raw_Data!L790)="","Yes","No")</f>
        <v/>
      </c>
      <c r="R790" s="4">
        <f>IF(ISNUMBER(B790),"Valid","INVALID")</f>
        <v/>
      </c>
    </row>
    <row r="791">
      <c r="A791" s="4">
        <f>TRIM(Raw_Data!A791)</f>
        <v/>
      </c>
      <c r="B791" s="5">
        <f>Raw_Data!B791</f>
        <v/>
      </c>
      <c r="C791" s="4">
        <f>TRIM(Raw_Data!C791)</f>
        <v/>
      </c>
      <c r="D791" s="4">
        <f>PROPER(TRIM(Raw_Data!D791))</f>
        <v/>
      </c>
      <c r="E791" s="4">
        <f>Raw_Data!E791</f>
        <v/>
      </c>
      <c r="F791" s="6">
        <f>ROUND(Raw_Data!F791,2)</f>
        <v/>
      </c>
      <c r="G791" s="4">
        <f>PROPER(TRIM(Raw_Data!G791))</f>
        <v/>
      </c>
      <c r="H791" s="4">
        <f>PROPER(TRIM(Raw_Data!H791))</f>
        <v/>
      </c>
      <c r="I791" s="4">
        <f>PROPER(TRIM(Raw_Data!I791))</f>
        <v/>
      </c>
      <c r="J791" s="4">
        <f>TRIM(Raw_Data!J791)</f>
        <v/>
      </c>
      <c r="K791" s="4">
        <f>Raw_Data!K791</f>
        <v/>
      </c>
      <c r="L791" s="4">
        <f>IF(TRIM(Raw_Data!L791)="","No Coupon",TRIM(Raw_Data!L791))</f>
        <v/>
      </c>
      <c r="M791" s="4">
        <f>PROPER(TRIM(Raw_Data!M791))</f>
        <v/>
      </c>
      <c r="N791" s="6">
        <f>ROUND(Raw_Data!N791,2)</f>
        <v/>
      </c>
      <c r="O791" s="7">
        <f>IF(COUNTIF($A$2:$A$1201,A791)&gt;1,"DUPLICATE","Unique")</f>
        <v/>
      </c>
      <c r="P791" s="7">
        <f>IF(COUNTIF($J$2:$J$1201,J791)&gt;1,"DUPLICATE","Unique")</f>
        <v/>
      </c>
      <c r="Q791" s="4">
        <f>IF(TRIM(Raw_Data!L791)="","Yes","No")</f>
        <v/>
      </c>
      <c r="R791" s="4">
        <f>IF(ISNUMBER(B791),"Valid","INVALID")</f>
        <v/>
      </c>
    </row>
    <row r="792">
      <c r="A792" s="4">
        <f>TRIM(Raw_Data!A792)</f>
        <v/>
      </c>
      <c r="B792" s="5">
        <f>Raw_Data!B792</f>
        <v/>
      </c>
      <c r="C792" s="4">
        <f>TRIM(Raw_Data!C792)</f>
        <v/>
      </c>
      <c r="D792" s="4">
        <f>PROPER(TRIM(Raw_Data!D792))</f>
        <v/>
      </c>
      <c r="E792" s="4">
        <f>Raw_Data!E792</f>
        <v/>
      </c>
      <c r="F792" s="6">
        <f>ROUND(Raw_Data!F792,2)</f>
        <v/>
      </c>
      <c r="G792" s="4">
        <f>PROPER(TRIM(Raw_Data!G792))</f>
        <v/>
      </c>
      <c r="H792" s="4">
        <f>PROPER(TRIM(Raw_Data!H792))</f>
        <v/>
      </c>
      <c r="I792" s="4">
        <f>PROPER(TRIM(Raw_Data!I792))</f>
        <v/>
      </c>
      <c r="J792" s="4">
        <f>TRIM(Raw_Data!J792)</f>
        <v/>
      </c>
      <c r="K792" s="4">
        <f>Raw_Data!K792</f>
        <v/>
      </c>
      <c r="L792" s="4">
        <f>IF(TRIM(Raw_Data!L792)="","No Coupon",TRIM(Raw_Data!L792))</f>
        <v/>
      </c>
      <c r="M792" s="4">
        <f>PROPER(TRIM(Raw_Data!M792))</f>
        <v/>
      </c>
      <c r="N792" s="6">
        <f>ROUND(Raw_Data!N792,2)</f>
        <v/>
      </c>
      <c r="O792" s="7">
        <f>IF(COUNTIF($A$2:$A$1201,A792)&gt;1,"DUPLICATE","Unique")</f>
        <v/>
      </c>
      <c r="P792" s="7">
        <f>IF(COUNTIF($J$2:$J$1201,J792)&gt;1,"DUPLICATE","Unique")</f>
        <v/>
      </c>
      <c r="Q792" s="4">
        <f>IF(TRIM(Raw_Data!L792)="","Yes","No")</f>
        <v/>
      </c>
      <c r="R792" s="4">
        <f>IF(ISNUMBER(B792),"Valid","INVALID")</f>
        <v/>
      </c>
    </row>
    <row r="793">
      <c r="A793" s="4">
        <f>TRIM(Raw_Data!A793)</f>
        <v/>
      </c>
      <c r="B793" s="5">
        <f>Raw_Data!B793</f>
        <v/>
      </c>
      <c r="C793" s="4">
        <f>TRIM(Raw_Data!C793)</f>
        <v/>
      </c>
      <c r="D793" s="4">
        <f>PROPER(TRIM(Raw_Data!D793))</f>
        <v/>
      </c>
      <c r="E793" s="4">
        <f>Raw_Data!E793</f>
        <v/>
      </c>
      <c r="F793" s="6">
        <f>ROUND(Raw_Data!F793,2)</f>
        <v/>
      </c>
      <c r="G793" s="4">
        <f>PROPER(TRIM(Raw_Data!G793))</f>
        <v/>
      </c>
      <c r="H793" s="4">
        <f>PROPER(TRIM(Raw_Data!H793))</f>
        <v/>
      </c>
      <c r="I793" s="4">
        <f>PROPER(TRIM(Raw_Data!I793))</f>
        <v/>
      </c>
      <c r="J793" s="4">
        <f>TRIM(Raw_Data!J793)</f>
        <v/>
      </c>
      <c r="K793" s="4">
        <f>Raw_Data!K793</f>
        <v/>
      </c>
      <c r="L793" s="4">
        <f>IF(TRIM(Raw_Data!L793)="","No Coupon",TRIM(Raw_Data!L793))</f>
        <v/>
      </c>
      <c r="M793" s="4">
        <f>PROPER(TRIM(Raw_Data!M793))</f>
        <v/>
      </c>
      <c r="N793" s="6">
        <f>ROUND(Raw_Data!N793,2)</f>
        <v/>
      </c>
      <c r="O793" s="7">
        <f>IF(COUNTIF($A$2:$A$1201,A793)&gt;1,"DUPLICATE","Unique")</f>
        <v/>
      </c>
      <c r="P793" s="7">
        <f>IF(COUNTIF($J$2:$J$1201,J793)&gt;1,"DUPLICATE","Unique")</f>
        <v/>
      </c>
      <c r="Q793" s="4">
        <f>IF(TRIM(Raw_Data!L793)="","Yes","No")</f>
        <v/>
      </c>
      <c r="R793" s="4">
        <f>IF(ISNUMBER(B793),"Valid","INVALID")</f>
        <v/>
      </c>
    </row>
    <row r="794">
      <c r="A794" s="4">
        <f>TRIM(Raw_Data!A794)</f>
        <v/>
      </c>
      <c r="B794" s="5">
        <f>Raw_Data!B794</f>
        <v/>
      </c>
      <c r="C794" s="4">
        <f>TRIM(Raw_Data!C794)</f>
        <v/>
      </c>
      <c r="D794" s="4">
        <f>PROPER(TRIM(Raw_Data!D794))</f>
        <v/>
      </c>
      <c r="E794" s="4">
        <f>Raw_Data!E794</f>
        <v/>
      </c>
      <c r="F794" s="6">
        <f>ROUND(Raw_Data!F794,2)</f>
        <v/>
      </c>
      <c r="G794" s="4">
        <f>PROPER(TRIM(Raw_Data!G794))</f>
        <v/>
      </c>
      <c r="H794" s="4">
        <f>PROPER(TRIM(Raw_Data!H794))</f>
        <v/>
      </c>
      <c r="I794" s="4">
        <f>PROPER(TRIM(Raw_Data!I794))</f>
        <v/>
      </c>
      <c r="J794" s="4">
        <f>TRIM(Raw_Data!J794)</f>
        <v/>
      </c>
      <c r="K794" s="4">
        <f>Raw_Data!K794</f>
        <v/>
      </c>
      <c r="L794" s="4">
        <f>IF(TRIM(Raw_Data!L794)="","No Coupon",TRIM(Raw_Data!L794))</f>
        <v/>
      </c>
      <c r="M794" s="4">
        <f>PROPER(TRIM(Raw_Data!M794))</f>
        <v/>
      </c>
      <c r="N794" s="6">
        <f>ROUND(Raw_Data!N794,2)</f>
        <v/>
      </c>
      <c r="O794" s="7">
        <f>IF(COUNTIF($A$2:$A$1201,A794)&gt;1,"DUPLICATE","Unique")</f>
        <v/>
      </c>
      <c r="P794" s="7">
        <f>IF(COUNTIF($J$2:$J$1201,J794)&gt;1,"DUPLICATE","Unique")</f>
        <v/>
      </c>
      <c r="Q794" s="4">
        <f>IF(TRIM(Raw_Data!L794)="","Yes","No")</f>
        <v/>
      </c>
      <c r="R794" s="4">
        <f>IF(ISNUMBER(B794),"Valid","INVALID")</f>
        <v/>
      </c>
    </row>
    <row r="795">
      <c r="A795" s="4">
        <f>TRIM(Raw_Data!A795)</f>
        <v/>
      </c>
      <c r="B795" s="5">
        <f>Raw_Data!B795</f>
        <v/>
      </c>
      <c r="C795" s="4">
        <f>TRIM(Raw_Data!C795)</f>
        <v/>
      </c>
      <c r="D795" s="4">
        <f>PROPER(TRIM(Raw_Data!D795))</f>
        <v/>
      </c>
      <c r="E795" s="4">
        <f>Raw_Data!E795</f>
        <v/>
      </c>
      <c r="F795" s="6">
        <f>ROUND(Raw_Data!F795,2)</f>
        <v/>
      </c>
      <c r="G795" s="4">
        <f>PROPER(TRIM(Raw_Data!G795))</f>
        <v/>
      </c>
      <c r="H795" s="4">
        <f>PROPER(TRIM(Raw_Data!H795))</f>
        <v/>
      </c>
      <c r="I795" s="4">
        <f>PROPER(TRIM(Raw_Data!I795))</f>
        <v/>
      </c>
      <c r="J795" s="4">
        <f>TRIM(Raw_Data!J795)</f>
        <v/>
      </c>
      <c r="K795" s="4">
        <f>Raw_Data!K795</f>
        <v/>
      </c>
      <c r="L795" s="4">
        <f>IF(TRIM(Raw_Data!L795)="","No Coupon",TRIM(Raw_Data!L795))</f>
        <v/>
      </c>
      <c r="M795" s="4">
        <f>PROPER(TRIM(Raw_Data!M795))</f>
        <v/>
      </c>
      <c r="N795" s="6">
        <f>ROUND(Raw_Data!N795,2)</f>
        <v/>
      </c>
      <c r="O795" s="7">
        <f>IF(COUNTIF($A$2:$A$1201,A795)&gt;1,"DUPLICATE","Unique")</f>
        <v/>
      </c>
      <c r="P795" s="7">
        <f>IF(COUNTIF($J$2:$J$1201,J795)&gt;1,"DUPLICATE","Unique")</f>
        <v/>
      </c>
      <c r="Q795" s="4">
        <f>IF(TRIM(Raw_Data!L795)="","Yes","No")</f>
        <v/>
      </c>
      <c r="R795" s="4">
        <f>IF(ISNUMBER(B795),"Valid","INVALID")</f>
        <v/>
      </c>
    </row>
    <row r="796">
      <c r="A796" s="4">
        <f>TRIM(Raw_Data!A796)</f>
        <v/>
      </c>
      <c r="B796" s="5">
        <f>Raw_Data!B796</f>
        <v/>
      </c>
      <c r="C796" s="4">
        <f>TRIM(Raw_Data!C796)</f>
        <v/>
      </c>
      <c r="D796" s="4">
        <f>PROPER(TRIM(Raw_Data!D796))</f>
        <v/>
      </c>
      <c r="E796" s="4">
        <f>Raw_Data!E796</f>
        <v/>
      </c>
      <c r="F796" s="6">
        <f>ROUND(Raw_Data!F796,2)</f>
        <v/>
      </c>
      <c r="G796" s="4">
        <f>PROPER(TRIM(Raw_Data!G796))</f>
        <v/>
      </c>
      <c r="H796" s="4">
        <f>PROPER(TRIM(Raw_Data!H796))</f>
        <v/>
      </c>
      <c r="I796" s="4">
        <f>PROPER(TRIM(Raw_Data!I796))</f>
        <v/>
      </c>
      <c r="J796" s="4">
        <f>TRIM(Raw_Data!J796)</f>
        <v/>
      </c>
      <c r="K796" s="4">
        <f>Raw_Data!K796</f>
        <v/>
      </c>
      <c r="L796" s="4">
        <f>IF(TRIM(Raw_Data!L796)="","No Coupon",TRIM(Raw_Data!L796))</f>
        <v/>
      </c>
      <c r="M796" s="4">
        <f>PROPER(TRIM(Raw_Data!M796))</f>
        <v/>
      </c>
      <c r="N796" s="6">
        <f>ROUND(Raw_Data!N796,2)</f>
        <v/>
      </c>
      <c r="O796" s="7">
        <f>IF(COUNTIF($A$2:$A$1201,A796)&gt;1,"DUPLICATE","Unique")</f>
        <v/>
      </c>
      <c r="P796" s="7">
        <f>IF(COUNTIF($J$2:$J$1201,J796)&gt;1,"DUPLICATE","Unique")</f>
        <v/>
      </c>
      <c r="Q796" s="4">
        <f>IF(TRIM(Raw_Data!L796)="","Yes","No")</f>
        <v/>
      </c>
      <c r="R796" s="4">
        <f>IF(ISNUMBER(B796),"Valid","INVALID")</f>
        <v/>
      </c>
    </row>
    <row r="797">
      <c r="A797" s="4">
        <f>TRIM(Raw_Data!A797)</f>
        <v/>
      </c>
      <c r="B797" s="5">
        <f>Raw_Data!B797</f>
        <v/>
      </c>
      <c r="C797" s="4">
        <f>TRIM(Raw_Data!C797)</f>
        <v/>
      </c>
      <c r="D797" s="4">
        <f>PROPER(TRIM(Raw_Data!D797))</f>
        <v/>
      </c>
      <c r="E797" s="4">
        <f>Raw_Data!E797</f>
        <v/>
      </c>
      <c r="F797" s="6">
        <f>ROUND(Raw_Data!F797,2)</f>
        <v/>
      </c>
      <c r="G797" s="4">
        <f>PROPER(TRIM(Raw_Data!G797))</f>
        <v/>
      </c>
      <c r="H797" s="4">
        <f>PROPER(TRIM(Raw_Data!H797))</f>
        <v/>
      </c>
      <c r="I797" s="4">
        <f>PROPER(TRIM(Raw_Data!I797))</f>
        <v/>
      </c>
      <c r="J797" s="4">
        <f>TRIM(Raw_Data!J797)</f>
        <v/>
      </c>
      <c r="K797" s="4">
        <f>Raw_Data!K797</f>
        <v/>
      </c>
      <c r="L797" s="4">
        <f>IF(TRIM(Raw_Data!L797)="","No Coupon",TRIM(Raw_Data!L797))</f>
        <v/>
      </c>
      <c r="M797" s="4">
        <f>PROPER(TRIM(Raw_Data!M797))</f>
        <v/>
      </c>
      <c r="N797" s="6">
        <f>ROUND(Raw_Data!N797,2)</f>
        <v/>
      </c>
      <c r="O797" s="7">
        <f>IF(COUNTIF($A$2:$A$1201,A797)&gt;1,"DUPLICATE","Unique")</f>
        <v/>
      </c>
      <c r="P797" s="7">
        <f>IF(COUNTIF($J$2:$J$1201,J797)&gt;1,"DUPLICATE","Unique")</f>
        <v/>
      </c>
      <c r="Q797" s="4">
        <f>IF(TRIM(Raw_Data!L797)="","Yes","No")</f>
        <v/>
      </c>
      <c r="R797" s="4">
        <f>IF(ISNUMBER(B797),"Valid","INVALID")</f>
        <v/>
      </c>
    </row>
    <row r="798">
      <c r="A798" s="4">
        <f>TRIM(Raw_Data!A798)</f>
        <v/>
      </c>
      <c r="B798" s="5">
        <f>Raw_Data!B798</f>
        <v/>
      </c>
      <c r="C798" s="4">
        <f>TRIM(Raw_Data!C798)</f>
        <v/>
      </c>
      <c r="D798" s="4">
        <f>PROPER(TRIM(Raw_Data!D798))</f>
        <v/>
      </c>
      <c r="E798" s="4">
        <f>Raw_Data!E798</f>
        <v/>
      </c>
      <c r="F798" s="6">
        <f>ROUND(Raw_Data!F798,2)</f>
        <v/>
      </c>
      <c r="G798" s="4">
        <f>PROPER(TRIM(Raw_Data!G798))</f>
        <v/>
      </c>
      <c r="H798" s="4">
        <f>PROPER(TRIM(Raw_Data!H798))</f>
        <v/>
      </c>
      <c r="I798" s="4">
        <f>PROPER(TRIM(Raw_Data!I798))</f>
        <v/>
      </c>
      <c r="J798" s="4">
        <f>TRIM(Raw_Data!J798)</f>
        <v/>
      </c>
      <c r="K798" s="4">
        <f>Raw_Data!K798</f>
        <v/>
      </c>
      <c r="L798" s="4">
        <f>IF(TRIM(Raw_Data!L798)="","No Coupon",TRIM(Raw_Data!L798))</f>
        <v/>
      </c>
      <c r="M798" s="4">
        <f>PROPER(TRIM(Raw_Data!M798))</f>
        <v/>
      </c>
      <c r="N798" s="6">
        <f>ROUND(Raw_Data!N798,2)</f>
        <v/>
      </c>
      <c r="O798" s="7">
        <f>IF(COUNTIF($A$2:$A$1201,A798)&gt;1,"DUPLICATE","Unique")</f>
        <v/>
      </c>
      <c r="P798" s="7">
        <f>IF(COUNTIF($J$2:$J$1201,J798)&gt;1,"DUPLICATE","Unique")</f>
        <v/>
      </c>
      <c r="Q798" s="4">
        <f>IF(TRIM(Raw_Data!L798)="","Yes","No")</f>
        <v/>
      </c>
      <c r="R798" s="4">
        <f>IF(ISNUMBER(B798),"Valid","INVALID")</f>
        <v/>
      </c>
    </row>
    <row r="799">
      <c r="A799" s="4">
        <f>TRIM(Raw_Data!A799)</f>
        <v/>
      </c>
      <c r="B799" s="5">
        <f>Raw_Data!B799</f>
        <v/>
      </c>
      <c r="C799" s="4">
        <f>TRIM(Raw_Data!C799)</f>
        <v/>
      </c>
      <c r="D799" s="4">
        <f>PROPER(TRIM(Raw_Data!D799))</f>
        <v/>
      </c>
      <c r="E799" s="4">
        <f>Raw_Data!E799</f>
        <v/>
      </c>
      <c r="F799" s="6">
        <f>ROUND(Raw_Data!F799,2)</f>
        <v/>
      </c>
      <c r="G799" s="4">
        <f>PROPER(TRIM(Raw_Data!G799))</f>
        <v/>
      </c>
      <c r="H799" s="4">
        <f>PROPER(TRIM(Raw_Data!H799))</f>
        <v/>
      </c>
      <c r="I799" s="4">
        <f>PROPER(TRIM(Raw_Data!I799))</f>
        <v/>
      </c>
      <c r="J799" s="4">
        <f>TRIM(Raw_Data!J799)</f>
        <v/>
      </c>
      <c r="K799" s="4">
        <f>Raw_Data!K799</f>
        <v/>
      </c>
      <c r="L799" s="4">
        <f>IF(TRIM(Raw_Data!L799)="","No Coupon",TRIM(Raw_Data!L799))</f>
        <v/>
      </c>
      <c r="M799" s="4">
        <f>PROPER(TRIM(Raw_Data!M799))</f>
        <v/>
      </c>
      <c r="N799" s="6">
        <f>ROUND(Raw_Data!N799,2)</f>
        <v/>
      </c>
      <c r="O799" s="7">
        <f>IF(COUNTIF($A$2:$A$1201,A799)&gt;1,"DUPLICATE","Unique")</f>
        <v/>
      </c>
      <c r="P799" s="7">
        <f>IF(COUNTIF($J$2:$J$1201,J799)&gt;1,"DUPLICATE","Unique")</f>
        <v/>
      </c>
      <c r="Q799" s="4">
        <f>IF(TRIM(Raw_Data!L799)="","Yes","No")</f>
        <v/>
      </c>
      <c r="R799" s="4">
        <f>IF(ISNUMBER(B799),"Valid","INVALID")</f>
        <v/>
      </c>
    </row>
    <row r="800">
      <c r="A800" s="4">
        <f>TRIM(Raw_Data!A800)</f>
        <v/>
      </c>
      <c r="B800" s="5">
        <f>Raw_Data!B800</f>
        <v/>
      </c>
      <c r="C800" s="4">
        <f>TRIM(Raw_Data!C800)</f>
        <v/>
      </c>
      <c r="D800" s="4">
        <f>PROPER(TRIM(Raw_Data!D800))</f>
        <v/>
      </c>
      <c r="E800" s="4">
        <f>Raw_Data!E800</f>
        <v/>
      </c>
      <c r="F800" s="6">
        <f>ROUND(Raw_Data!F800,2)</f>
        <v/>
      </c>
      <c r="G800" s="4">
        <f>PROPER(TRIM(Raw_Data!G800))</f>
        <v/>
      </c>
      <c r="H800" s="4">
        <f>PROPER(TRIM(Raw_Data!H800))</f>
        <v/>
      </c>
      <c r="I800" s="4">
        <f>PROPER(TRIM(Raw_Data!I800))</f>
        <v/>
      </c>
      <c r="J800" s="4">
        <f>TRIM(Raw_Data!J800)</f>
        <v/>
      </c>
      <c r="K800" s="4">
        <f>Raw_Data!K800</f>
        <v/>
      </c>
      <c r="L800" s="4">
        <f>IF(TRIM(Raw_Data!L800)="","No Coupon",TRIM(Raw_Data!L800))</f>
        <v/>
      </c>
      <c r="M800" s="4">
        <f>PROPER(TRIM(Raw_Data!M800))</f>
        <v/>
      </c>
      <c r="N800" s="6">
        <f>ROUND(Raw_Data!N800,2)</f>
        <v/>
      </c>
      <c r="O800" s="7">
        <f>IF(COUNTIF($A$2:$A$1201,A800)&gt;1,"DUPLICATE","Unique")</f>
        <v/>
      </c>
      <c r="P800" s="7">
        <f>IF(COUNTIF($J$2:$J$1201,J800)&gt;1,"DUPLICATE","Unique")</f>
        <v/>
      </c>
      <c r="Q800" s="4">
        <f>IF(TRIM(Raw_Data!L800)="","Yes","No")</f>
        <v/>
      </c>
      <c r="R800" s="4">
        <f>IF(ISNUMBER(B800),"Valid","INVALID")</f>
        <v/>
      </c>
    </row>
    <row r="801">
      <c r="A801" s="4">
        <f>TRIM(Raw_Data!A801)</f>
        <v/>
      </c>
      <c r="B801" s="5">
        <f>Raw_Data!B801</f>
        <v/>
      </c>
      <c r="C801" s="4">
        <f>TRIM(Raw_Data!C801)</f>
        <v/>
      </c>
      <c r="D801" s="4">
        <f>PROPER(TRIM(Raw_Data!D801))</f>
        <v/>
      </c>
      <c r="E801" s="4">
        <f>Raw_Data!E801</f>
        <v/>
      </c>
      <c r="F801" s="6">
        <f>ROUND(Raw_Data!F801,2)</f>
        <v/>
      </c>
      <c r="G801" s="4">
        <f>PROPER(TRIM(Raw_Data!G801))</f>
        <v/>
      </c>
      <c r="H801" s="4">
        <f>PROPER(TRIM(Raw_Data!H801))</f>
        <v/>
      </c>
      <c r="I801" s="4">
        <f>PROPER(TRIM(Raw_Data!I801))</f>
        <v/>
      </c>
      <c r="J801" s="4">
        <f>TRIM(Raw_Data!J801)</f>
        <v/>
      </c>
      <c r="K801" s="4">
        <f>Raw_Data!K801</f>
        <v/>
      </c>
      <c r="L801" s="4">
        <f>IF(TRIM(Raw_Data!L801)="","No Coupon",TRIM(Raw_Data!L801))</f>
        <v/>
      </c>
      <c r="M801" s="4">
        <f>PROPER(TRIM(Raw_Data!M801))</f>
        <v/>
      </c>
      <c r="N801" s="6">
        <f>ROUND(Raw_Data!N801,2)</f>
        <v/>
      </c>
      <c r="O801" s="7">
        <f>IF(COUNTIF($A$2:$A$1201,A801)&gt;1,"DUPLICATE","Unique")</f>
        <v/>
      </c>
      <c r="P801" s="7">
        <f>IF(COUNTIF($J$2:$J$1201,J801)&gt;1,"DUPLICATE","Unique")</f>
        <v/>
      </c>
      <c r="Q801" s="4">
        <f>IF(TRIM(Raw_Data!L801)="","Yes","No")</f>
        <v/>
      </c>
      <c r="R801" s="4">
        <f>IF(ISNUMBER(B801),"Valid","INVALID")</f>
        <v/>
      </c>
    </row>
    <row r="802">
      <c r="A802" s="4">
        <f>TRIM(Raw_Data!A802)</f>
        <v/>
      </c>
      <c r="B802" s="5">
        <f>Raw_Data!B802</f>
        <v/>
      </c>
      <c r="C802" s="4">
        <f>TRIM(Raw_Data!C802)</f>
        <v/>
      </c>
      <c r="D802" s="4">
        <f>PROPER(TRIM(Raw_Data!D802))</f>
        <v/>
      </c>
      <c r="E802" s="4">
        <f>Raw_Data!E802</f>
        <v/>
      </c>
      <c r="F802" s="6">
        <f>ROUND(Raw_Data!F802,2)</f>
        <v/>
      </c>
      <c r="G802" s="4">
        <f>PROPER(TRIM(Raw_Data!G802))</f>
        <v/>
      </c>
      <c r="H802" s="4">
        <f>PROPER(TRIM(Raw_Data!H802))</f>
        <v/>
      </c>
      <c r="I802" s="4">
        <f>PROPER(TRIM(Raw_Data!I802))</f>
        <v/>
      </c>
      <c r="J802" s="4">
        <f>TRIM(Raw_Data!J802)</f>
        <v/>
      </c>
      <c r="K802" s="4">
        <f>Raw_Data!K802</f>
        <v/>
      </c>
      <c r="L802" s="4">
        <f>IF(TRIM(Raw_Data!L802)="","No Coupon",TRIM(Raw_Data!L802))</f>
        <v/>
      </c>
      <c r="M802" s="4">
        <f>PROPER(TRIM(Raw_Data!M802))</f>
        <v/>
      </c>
      <c r="N802" s="6">
        <f>ROUND(Raw_Data!N802,2)</f>
        <v/>
      </c>
      <c r="O802" s="7">
        <f>IF(COUNTIF($A$2:$A$1201,A802)&gt;1,"DUPLICATE","Unique")</f>
        <v/>
      </c>
      <c r="P802" s="7">
        <f>IF(COUNTIF($J$2:$J$1201,J802)&gt;1,"DUPLICATE","Unique")</f>
        <v/>
      </c>
      <c r="Q802" s="4">
        <f>IF(TRIM(Raw_Data!L802)="","Yes","No")</f>
        <v/>
      </c>
      <c r="R802" s="4">
        <f>IF(ISNUMBER(B802),"Valid","INVALID")</f>
        <v/>
      </c>
    </row>
    <row r="803">
      <c r="A803" s="4">
        <f>TRIM(Raw_Data!A803)</f>
        <v/>
      </c>
      <c r="B803" s="5">
        <f>Raw_Data!B803</f>
        <v/>
      </c>
      <c r="C803" s="4">
        <f>TRIM(Raw_Data!C803)</f>
        <v/>
      </c>
      <c r="D803" s="4">
        <f>PROPER(TRIM(Raw_Data!D803))</f>
        <v/>
      </c>
      <c r="E803" s="4">
        <f>Raw_Data!E803</f>
        <v/>
      </c>
      <c r="F803" s="6">
        <f>ROUND(Raw_Data!F803,2)</f>
        <v/>
      </c>
      <c r="G803" s="4">
        <f>PROPER(TRIM(Raw_Data!G803))</f>
        <v/>
      </c>
      <c r="H803" s="4">
        <f>PROPER(TRIM(Raw_Data!H803))</f>
        <v/>
      </c>
      <c r="I803" s="4">
        <f>PROPER(TRIM(Raw_Data!I803))</f>
        <v/>
      </c>
      <c r="J803" s="4">
        <f>TRIM(Raw_Data!J803)</f>
        <v/>
      </c>
      <c r="K803" s="4">
        <f>Raw_Data!K803</f>
        <v/>
      </c>
      <c r="L803" s="4">
        <f>IF(TRIM(Raw_Data!L803)="","No Coupon",TRIM(Raw_Data!L803))</f>
        <v/>
      </c>
      <c r="M803" s="4">
        <f>PROPER(TRIM(Raw_Data!M803))</f>
        <v/>
      </c>
      <c r="N803" s="6">
        <f>ROUND(Raw_Data!N803,2)</f>
        <v/>
      </c>
      <c r="O803" s="7">
        <f>IF(COUNTIF($A$2:$A$1201,A803)&gt;1,"DUPLICATE","Unique")</f>
        <v/>
      </c>
      <c r="P803" s="7">
        <f>IF(COUNTIF($J$2:$J$1201,J803)&gt;1,"DUPLICATE","Unique")</f>
        <v/>
      </c>
      <c r="Q803" s="4">
        <f>IF(TRIM(Raw_Data!L803)="","Yes","No")</f>
        <v/>
      </c>
      <c r="R803" s="4">
        <f>IF(ISNUMBER(B803),"Valid","INVALID")</f>
        <v/>
      </c>
    </row>
    <row r="804">
      <c r="A804" s="4">
        <f>TRIM(Raw_Data!A804)</f>
        <v/>
      </c>
      <c r="B804" s="5">
        <f>Raw_Data!B804</f>
        <v/>
      </c>
      <c r="C804" s="4">
        <f>TRIM(Raw_Data!C804)</f>
        <v/>
      </c>
      <c r="D804" s="4">
        <f>PROPER(TRIM(Raw_Data!D804))</f>
        <v/>
      </c>
      <c r="E804" s="4">
        <f>Raw_Data!E804</f>
        <v/>
      </c>
      <c r="F804" s="6">
        <f>ROUND(Raw_Data!F804,2)</f>
        <v/>
      </c>
      <c r="G804" s="4">
        <f>PROPER(TRIM(Raw_Data!G804))</f>
        <v/>
      </c>
      <c r="H804" s="4">
        <f>PROPER(TRIM(Raw_Data!H804))</f>
        <v/>
      </c>
      <c r="I804" s="4">
        <f>PROPER(TRIM(Raw_Data!I804))</f>
        <v/>
      </c>
      <c r="J804" s="4">
        <f>TRIM(Raw_Data!J804)</f>
        <v/>
      </c>
      <c r="K804" s="4">
        <f>Raw_Data!K804</f>
        <v/>
      </c>
      <c r="L804" s="4">
        <f>IF(TRIM(Raw_Data!L804)="","No Coupon",TRIM(Raw_Data!L804))</f>
        <v/>
      </c>
      <c r="M804" s="4">
        <f>PROPER(TRIM(Raw_Data!M804))</f>
        <v/>
      </c>
      <c r="N804" s="6">
        <f>ROUND(Raw_Data!N804,2)</f>
        <v/>
      </c>
      <c r="O804" s="7">
        <f>IF(COUNTIF($A$2:$A$1201,A804)&gt;1,"DUPLICATE","Unique")</f>
        <v/>
      </c>
      <c r="P804" s="7">
        <f>IF(COUNTIF($J$2:$J$1201,J804)&gt;1,"DUPLICATE","Unique")</f>
        <v/>
      </c>
      <c r="Q804" s="4">
        <f>IF(TRIM(Raw_Data!L804)="","Yes","No")</f>
        <v/>
      </c>
      <c r="R804" s="4">
        <f>IF(ISNUMBER(B804),"Valid","INVALID")</f>
        <v/>
      </c>
    </row>
    <row r="805">
      <c r="A805" s="4">
        <f>TRIM(Raw_Data!A805)</f>
        <v/>
      </c>
      <c r="B805" s="5">
        <f>Raw_Data!B805</f>
        <v/>
      </c>
      <c r="C805" s="4">
        <f>TRIM(Raw_Data!C805)</f>
        <v/>
      </c>
      <c r="D805" s="4">
        <f>PROPER(TRIM(Raw_Data!D805))</f>
        <v/>
      </c>
      <c r="E805" s="4">
        <f>Raw_Data!E805</f>
        <v/>
      </c>
      <c r="F805" s="6">
        <f>ROUND(Raw_Data!F805,2)</f>
        <v/>
      </c>
      <c r="G805" s="4">
        <f>PROPER(TRIM(Raw_Data!G805))</f>
        <v/>
      </c>
      <c r="H805" s="4">
        <f>PROPER(TRIM(Raw_Data!H805))</f>
        <v/>
      </c>
      <c r="I805" s="4">
        <f>PROPER(TRIM(Raw_Data!I805))</f>
        <v/>
      </c>
      <c r="J805" s="4">
        <f>TRIM(Raw_Data!J805)</f>
        <v/>
      </c>
      <c r="K805" s="4">
        <f>Raw_Data!K805</f>
        <v/>
      </c>
      <c r="L805" s="4">
        <f>IF(TRIM(Raw_Data!L805)="","No Coupon",TRIM(Raw_Data!L805))</f>
        <v/>
      </c>
      <c r="M805" s="4">
        <f>PROPER(TRIM(Raw_Data!M805))</f>
        <v/>
      </c>
      <c r="N805" s="6">
        <f>ROUND(Raw_Data!N805,2)</f>
        <v/>
      </c>
      <c r="O805" s="7">
        <f>IF(COUNTIF($A$2:$A$1201,A805)&gt;1,"DUPLICATE","Unique")</f>
        <v/>
      </c>
      <c r="P805" s="7">
        <f>IF(COUNTIF($J$2:$J$1201,J805)&gt;1,"DUPLICATE","Unique")</f>
        <v/>
      </c>
      <c r="Q805" s="4">
        <f>IF(TRIM(Raw_Data!L805)="","Yes","No")</f>
        <v/>
      </c>
      <c r="R805" s="4">
        <f>IF(ISNUMBER(B805),"Valid","INVALID")</f>
        <v/>
      </c>
    </row>
    <row r="806">
      <c r="A806" s="4">
        <f>TRIM(Raw_Data!A806)</f>
        <v/>
      </c>
      <c r="B806" s="5">
        <f>Raw_Data!B806</f>
        <v/>
      </c>
      <c r="C806" s="4">
        <f>TRIM(Raw_Data!C806)</f>
        <v/>
      </c>
      <c r="D806" s="4">
        <f>PROPER(TRIM(Raw_Data!D806))</f>
        <v/>
      </c>
      <c r="E806" s="4">
        <f>Raw_Data!E806</f>
        <v/>
      </c>
      <c r="F806" s="6">
        <f>ROUND(Raw_Data!F806,2)</f>
        <v/>
      </c>
      <c r="G806" s="4">
        <f>PROPER(TRIM(Raw_Data!G806))</f>
        <v/>
      </c>
      <c r="H806" s="4">
        <f>PROPER(TRIM(Raw_Data!H806))</f>
        <v/>
      </c>
      <c r="I806" s="4">
        <f>PROPER(TRIM(Raw_Data!I806))</f>
        <v/>
      </c>
      <c r="J806" s="4">
        <f>TRIM(Raw_Data!J806)</f>
        <v/>
      </c>
      <c r="K806" s="4">
        <f>Raw_Data!K806</f>
        <v/>
      </c>
      <c r="L806" s="4">
        <f>IF(TRIM(Raw_Data!L806)="","No Coupon",TRIM(Raw_Data!L806))</f>
        <v/>
      </c>
      <c r="M806" s="4">
        <f>PROPER(TRIM(Raw_Data!M806))</f>
        <v/>
      </c>
      <c r="N806" s="6">
        <f>ROUND(Raw_Data!N806,2)</f>
        <v/>
      </c>
      <c r="O806" s="7">
        <f>IF(COUNTIF($A$2:$A$1201,A806)&gt;1,"DUPLICATE","Unique")</f>
        <v/>
      </c>
      <c r="P806" s="7">
        <f>IF(COUNTIF($J$2:$J$1201,J806)&gt;1,"DUPLICATE","Unique")</f>
        <v/>
      </c>
      <c r="Q806" s="4">
        <f>IF(TRIM(Raw_Data!L806)="","Yes","No")</f>
        <v/>
      </c>
      <c r="R806" s="4">
        <f>IF(ISNUMBER(B806),"Valid","INVALID")</f>
        <v/>
      </c>
    </row>
    <row r="807">
      <c r="A807" s="4">
        <f>TRIM(Raw_Data!A807)</f>
        <v/>
      </c>
      <c r="B807" s="5">
        <f>Raw_Data!B807</f>
        <v/>
      </c>
      <c r="C807" s="4">
        <f>TRIM(Raw_Data!C807)</f>
        <v/>
      </c>
      <c r="D807" s="4">
        <f>PROPER(TRIM(Raw_Data!D807))</f>
        <v/>
      </c>
      <c r="E807" s="4">
        <f>Raw_Data!E807</f>
        <v/>
      </c>
      <c r="F807" s="6">
        <f>ROUND(Raw_Data!F807,2)</f>
        <v/>
      </c>
      <c r="G807" s="4">
        <f>PROPER(TRIM(Raw_Data!G807))</f>
        <v/>
      </c>
      <c r="H807" s="4">
        <f>PROPER(TRIM(Raw_Data!H807))</f>
        <v/>
      </c>
      <c r="I807" s="4">
        <f>PROPER(TRIM(Raw_Data!I807))</f>
        <v/>
      </c>
      <c r="J807" s="4">
        <f>TRIM(Raw_Data!J807)</f>
        <v/>
      </c>
      <c r="K807" s="4">
        <f>Raw_Data!K807</f>
        <v/>
      </c>
      <c r="L807" s="4">
        <f>IF(TRIM(Raw_Data!L807)="","No Coupon",TRIM(Raw_Data!L807))</f>
        <v/>
      </c>
      <c r="M807" s="4">
        <f>PROPER(TRIM(Raw_Data!M807))</f>
        <v/>
      </c>
      <c r="N807" s="6">
        <f>ROUND(Raw_Data!N807,2)</f>
        <v/>
      </c>
      <c r="O807" s="7">
        <f>IF(COUNTIF($A$2:$A$1201,A807)&gt;1,"DUPLICATE","Unique")</f>
        <v/>
      </c>
      <c r="P807" s="7">
        <f>IF(COUNTIF($J$2:$J$1201,J807)&gt;1,"DUPLICATE","Unique")</f>
        <v/>
      </c>
      <c r="Q807" s="4">
        <f>IF(TRIM(Raw_Data!L807)="","Yes","No")</f>
        <v/>
      </c>
      <c r="R807" s="4">
        <f>IF(ISNUMBER(B807),"Valid","INVALID")</f>
        <v/>
      </c>
    </row>
    <row r="808">
      <c r="A808" s="4">
        <f>TRIM(Raw_Data!A808)</f>
        <v/>
      </c>
      <c r="B808" s="5">
        <f>Raw_Data!B808</f>
        <v/>
      </c>
      <c r="C808" s="4">
        <f>TRIM(Raw_Data!C808)</f>
        <v/>
      </c>
      <c r="D808" s="4">
        <f>PROPER(TRIM(Raw_Data!D808))</f>
        <v/>
      </c>
      <c r="E808" s="4">
        <f>Raw_Data!E808</f>
        <v/>
      </c>
      <c r="F808" s="6">
        <f>ROUND(Raw_Data!F808,2)</f>
        <v/>
      </c>
      <c r="G808" s="4">
        <f>PROPER(TRIM(Raw_Data!G808))</f>
        <v/>
      </c>
      <c r="H808" s="4">
        <f>PROPER(TRIM(Raw_Data!H808))</f>
        <v/>
      </c>
      <c r="I808" s="4">
        <f>PROPER(TRIM(Raw_Data!I808))</f>
        <v/>
      </c>
      <c r="J808" s="4">
        <f>TRIM(Raw_Data!J808)</f>
        <v/>
      </c>
      <c r="K808" s="4">
        <f>Raw_Data!K808</f>
        <v/>
      </c>
      <c r="L808" s="4">
        <f>IF(TRIM(Raw_Data!L808)="","No Coupon",TRIM(Raw_Data!L808))</f>
        <v/>
      </c>
      <c r="M808" s="4">
        <f>PROPER(TRIM(Raw_Data!M808))</f>
        <v/>
      </c>
      <c r="N808" s="6">
        <f>ROUND(Raw_Data!N808,2)</f>
        <v/>
      </c>
      <c r="O808" s="7">
        <f>IF(COUNTIF($A$2:$A$1201,A808)&gt;1,"DUPLICATE","Unique")</f>
        <v/>
      </c>
      <c r="P808" s="7">
        <f>IF(COUNTIF($J$2:$J$1201,J808)&gt;1,"DUPLICATE","Unique")</f>
        <v/>
      </c>
      <c r="Q808" s="4">
        <f>IF(TRIM(Raw_Data!L808)="","Yes","No")</f>
        <v/>
      </c>
      <c r="R808" s="4">
        <f>IF(ISNUMBER(B808),"Valid","INVALID")</f>
        <v/>
      </c>
    </row>
    <row r="809">
      <c r="A809" s="4">
        <f>TRIM(Raw_Data!A809)</f>
        <v/>
      </c>
      <c r="B809" s="5">
        <f>Raw_Data!B809</f>
        <v/>
      </c>
      <c r="C809" s="4">
        <f>TRIM(Raw_Data!C809)</f>
        <v/>
      </c>
      <c r="D809" s="4">
        <f>PROPER(TRIM(Raw_Data!D809))</f>
        <v/>
      </c>
      <c r="E809" s="4">
        <f>Raw_Data!E809</f>
        <v/>
      </c>
      <c r="F809" s="6">
        <f>ROUND(Raw_Data!F809,2)</f>
        <v/>
      </c>
      <c r="G809" s="4">
        <f>PROPER(TRIM(Raw_Data!G809))</f>
        <v/>
      </c>
      <c r="H809" s="4">
        <f>PROPER(TRIM(Raw_Data!H809))</f>
        <v/>
      </c>
      <c r="I809" s="4">
        <f>PROPER(TRIM(Raw_Data!I809))</f>
        <v/>
      </c>
      <c r="J809" s="4">
        <f>TRIM(Raw_Data!J809)</f>
        <v/>
      </c>
      <c r="K809" s="4">
        <f>Raw_Data!K809</f>
        <v/>
      </c>
      <c r="L809" s="4">
        <f>IF(TRIM(Raw_Data!L809)="","No Coupon",TRIM(Raw_Data!L809))</f>
        <v/>
      </c>
      <c r="M809" s="4">
        <f>PROPER(TRIM(Raw_Data!M809))</f>
        <v/>
      </c>
      <c r="N809" s="6">
        <f>ROUND(Raw_Data!N809,2)</f>
        <v/>
      </c>
      <c r="O809" s="7">
        <f>IF(COUNTIF($A$2:$A$1201,A809)&gt;1,"DUPLICATE","Unique")</f>
        <v/>
      </c>
      <c r="P809" s="7">
        <f>IF(COUNTIF($J$2:$J$1201,J809)&gt;1,"DUPLICATE","Unique")</f>
        <v/>
      </c>
      <c r="Q809" s="4">
        <f>IF(TRIM(Raw_Data!L809)="","Yes","No")</f>
        <v/>
      </c>
      <c r="R809" s="4">
        <f>IF(ISNUMBER(B809),"Valid","INVALID")</f>
        <v/>
      </c>
    </row>
    <row r="810">
      <c r="A810" s="4">
        <f>TRIM(Raw_Data!A810)</f>
        <v/>
      </c>
      <c r="B810" s="5">
        <f>Raw_Data!B810</f>
        <v/>
      </c>
      <c r="C810" s="4">
        <f>TRIM(Raw_Data!C810)</f>
        <v/>
      </c>
      <c r="D810" s="4">
        <f>PROPER(TRIM(Raw_Data!D810))</f>
        <v/>
      </c>
      <c r="E810" s="4">
        <f>Raw_Data!E810</f>
        <v/>
      </c>
      <c r="F810" s="6">
        <f>ROUND(Raw_Data!F810,2)</f>
        <v/>
      </c>
      <c r="G810" s="4">
        <f>PROPER(TRIM(Raw_Data!G810))</f>
        <v/>
      </c>
      <c r="H810" s="4">
        <f>PROPER(TRIM(Raw_Data!H810))</f>
        <v/>
      </c>
      <c r="I810" s="4">
        <f>PROPER(TRIM(Raw_Data!I810))</f>
        <v/>
      </c>
      <c r="J810" s="4">
        <f>TRIM(Raw_Data!J810)</f>
        <v/>
      </c>
      <c r="K810" s="4">
        <f>Raw_Data!K810</f>
        <v/>
      </c>
      <c r="L810" s="4">
        <f>IF(TRIM(Raw_Data!L810)="","No Coupon",TRIM(Raw_Data!L810))</f>
        <v/>
      </c>
      <c r="M810" s="4">
        <f>PROPER(TRIM(Raw_Data!M810))</f>
        <v/>
      </c>
      <c r="N810" s="6">
        <f>ROUND(Raw_Data!N810,2)</f>
        <v/>
      </c>
      <c r="O810" s="7">
        <f>IF(COUNTIF($A$2:$A$1201,A810)&gt;1,"DUPLICATE","Unique")</f>
        <v/>
      </c>
      <c r="P810" s="7">
        <f>IF(COUNTIF($J$2:$J$1201,J810)&gt;1,"DUPLICATE","Unique")</f>
        <v/>
      </c>
      <c r="Q810" s="4">
        <f>IF(TRIM(Raw_Data!L810)="","Yes","No")</f>
        <v/>
      </c>
      <c r="R810" s="4">
        <f>IF(ISNUMBER(B810),"Valid","INVALID")</f>
        <v/>
      </c>
    </row>
    <row r="811">
      <c r="A811" s="4">
        <f>TRIM(Raw_Data!A811)</f>
        <v/>
      </c>
      <c r="B811" s="5">
        <f>Raw_Data!B811</f>
        <v/>
      </c>
      <c r="C811" s="4">
        <f>TRIM(Raw_Data!C811)</f>
        <v/>
      </c>
      <c r="D811" s="4">
        <f>PROPER(TRIM(Raw_Data!D811))</f>
        <v/>
      </c>
      <c r="E811" s="4">
        <f>Raw_Data!E811</f>
        <v/>
      </c>
      <c r="F811" s="6">
        <f>ROUND(Raw_Data!F811,2)</f>
        <v/>
      </c>
      <c r="G811" s="4">
        <f>PROPER(TRIM(Raw_Data!G811))</f>
        <v/>
      </c>
      <c r="H811" s="4">
        <f>PROPER(TRIM(Raw_Data!H811))</f>
        <v/>
      </c>
      <c r="I811" s="4">
        <f>PROPER(TRIM(Raw_Data!I811))</f>
        <v/>
      </c>
      <c r="J811" s="4">
        <f>TRIM(Raw_Data!J811)</f>
        <v/>
      </c>
      <c r="K811" s="4">
        <f>Raw_Data!K811</f>
        <v/>
      </c>
      <c r="L811" s="4">
        <f>IF(TRIM(Raw_Data!L811)="","No Coupon",TRIM(Raw_Data!L811))</f>
        <v/>
      </c>
      <c r="M811" s="4">
        <f>PROPER(TRIM(Raw_Data!M811))</f>
        <v/>
      </c>
      <c r="N811" s="6">
        <f>ROUND(Raw_Data!N811,2)</f>
        <v/>
      </c>
      <c r="O811" s="7">
        <f>IF(COUNTIF($A$2:$A$1201,A811)&gt;1,"DUPLICATE","Unique")</f>
        <v/>
      </c>
      <c r="P811" s="7">
        <f>IF(COUNTIF($J$2:$J$1201,J811)&gt;1,"DUPLICATE","Unique")</f>
        <v/>
      </c>
      <c r="Q811" s="4">
        <f>IF(TRIM(Raw_Data!L811)="","Yes","No")</f>
        <v/>
      </c>
      <c r="R811" s="4">
        <f>IF(ISNUMBER(B811),"Valid","INVALID")</f>
        <v/>
      </c>
    </row>
    <row r="812">
      <c r="A812" s="4">
        <f>TRIM(Raw_Data!A812)</f>
        <v/>
      </c>
      <c r="B812" s="5">
        <f>Raw_Data!B812</f>
        <v/>
      </c>
      <c r="C812" s="4">
        <f>TRIM(Raw_Data!C812)</f>
        <v/>
      </c>
      <c r="D812" s="4">
        <f>PROPER(TRIM(Raw_Data!D812))</f>
        <v/>
      </c>
      <c r="E812" s="4">
        <f>Raw_Data!E812</f>
        <v/>
      </c>
      <c r="F812" s="6">
        <f>ROUND(Raw_Data!F812,2)</f>
        <v/>
      </c>
      <c r="G812" s="4">
        <f>PROPER(TRIM(Raw_Data!G812))</f>
        <v/>
      </c>
      <c r="H812" s="4">
        <f>PROPER(TRIM(Raw_Data!H812))</f>
        <v/>
      </c>
      <c r="I812" s="4">
        <f>PROPER(TRIM(Raw_Data!I812))</f>
        <v/>
      </c>
      <c r="J812" s="4">
        <f>TRIM(Raw_Data!J812)</f>
        <v/>
      </c>
      <c r="K812" s="4">
        <f>Raw_Data!K812</f>
        <v/>
      </c>
      <c r="L812" s="4">
        <f>IF(TRIM(Raw_Data!L812)="","No Coupon",TRIM(Raw_Data!L812))</f>
        <v/>
      </c>
      <c r="M812" s="4">
        <f>PROPER(TRIM(Raw_Data!M812))</f>
        <v/>
      </c>
      <c r="N812" s="6">
        <f>ROUND(Raw_Data!N812,2)</f>
        <v/>
      </c>
      <c r="O812" s="7">
        <f>IF(COUNTIF($A$2:$A$1201,A812)&gt;1,"DUPLICATE","Unique")</f>
        <v/>
      </c>
      <c r="P812" s="7">
        <f>IF(COUNTIF($J$2:$J$1201,J812)&gt;1,"DUPLICATE","Unique")</f>
        <v/>
      </c>
      <c r="Q812" s="4">
        <f>IF(TRIM(Raw_Data!L812)="","Yes","No")</f>
        <v/>
      </c>
      <c r="R812" s="4">
        <f>IF(ISNUMBER(B812),"Valid","INVALID")</f>
        <v/>
      </c>
    </row>
    <row r="813">
      <c r="A813" s="4">
        <f>TRIM(Raw_Data!A813)</f>
        <v/>
      </c>
      <c r="B813" s="5">
        <f>Raw_Data!B813</f>
        <v/>
      </c>
      <c r="C813" s="4">
        <f>TRIM(Raw_Data!C813)</f>
        <v/>
      </c>
      <c r="D813" s="4">
        <f>PROPER(TRIM(Raw_Data!D813))</f>
        <v/>
      </c>
      <c r="E813" s="4">
        <f>Raw_Data!E813</f>
        <v/>
      </c>
      <c r="F813" s="6">
        <f>ROUND(Raw_Data!F813,2)</f>
        <v/>
      </c>
      <c r="G813" s="4">
        <f>PROPER(TRIM(Raw_Data!G813))</f>
        <v/>
      </c>
      <c r="H813" s="4">
        <f>PROPER(TRIM(Raw_Data!H813))</f>
        <v/>
      </c>
      <c r="I813" s="4">
        <f>PROPER(TRIM(Raw_Data!I813))</f>
        <v/>
      </c>
      <c r="J813" s="4">
        <f>TRIM(Raw_Data!J813)</f>
        <v/>
      </c>
      <c r="K813" s="4">
        <f>Raw_Data!K813</f>
        <v/>
      </c>
      <c r="L813" s="4">
        <f>IF(TRIM(Raw_Data!L813)="","No Coupon",TRIM(Raw_Data!L813))</f>
        <v/>
      </c>
      <c r="M813" s="4">
        <f>PROPER(TRIM(Raw_Data!M813))</f>
        <v/>
      </c>
      <c r="N813" s="6">
        <f>ROUND(Raw_Data!N813,2)</f>
        <v/>
      </c>
      <c r="O813" s="7">
        <f>IF(COUNTIF($A$2:$A$1201,A813)&gt;1,"DUPLICATE","Unique")</f>
        <v/>
      </c>
      <c r="P813" s="7">
        <f>IF(COUNTIF($J$2:$J$1201,J813)&gt;1,"DUPLICATE","Unique")</f>
        <v/>
      </c>
      <c r="Q813" s="4">
        <f>IF(TRIM(Raw_Data!L813)="","Yes","No")</f>
        <v/>
      </c>
      <c r="R813" s="4">
        <f>IF(ISNUMBER(B813),"Valid","INVALID")</f>
        <v/>
      </c>
    </row>
    <row r="814">
      <c r="A814" s="4">
        <f>TRIM(Raw_Data!A814)</f>
        <v/>
      </c>
      <c r="B814" s="5">
        <f>Raw_Data!B814</f>
        <v/>
      </c>
      <c r="C814" s="4">
        <f>TRIM(Raw_Data!C814)</f>
        <v/>
      </c>
      <c r="D814" s="4">
        <f>PROPER(TRIM(Raw_Data!D814))</f>
        <v/>
      </c>
      <c r="E814" s="4">
        <f>Raw_Data!E814</f>
        <v/>
      </c>
      <c r="F814" s="6">
        <f>ROUND(Raw_Data!F814,2)</f>
        <v/>
      </c>
      <c r="G814" s="4">
        <f>PROPER(TRIM(Raw_Data!G814))</f>
        <v/>
      </c>
      <c r="H814" s="4">
        <f>PROPER(TRIM(Raw_Data!H814))</f>
        <v/>
      </c>
      <c r="I814" s="4">
        <f>PROPER(TRIM(Raw_Data!I814))</f>
        <v/>
      </c>
      <c r="J814" s="4">
        <f>TRIM(Raw_Data!J814)</f>
        <v/>
      </c>
      <c r="K814" s="4">
        <f>Raw_Data!K814</f>
        <v/>
      </c>
      <c r="L814" s="4">
        <f>IF(TRIM(Raw_Data!L814)="","No Coupon",TRIM(Raw_Data!L814))</f>
        <v/>
      </c>
      <c r="M814" s="4">
        <f>PROPER(TRIM(Raw_Data!M814))</f>
        <v/>
      </c>
      <c r="N814" s="6">
        <f>ROUND(Raw_Data!N814,2)</f>
        <v/>
      </c>
      <c r="O814" s="7">
        <f>IF(COUNTIF($A$2:$A$1201,A814)&gt;1,"DUPLICATE","Unique")</f>
        <v/>
      </c>
      <c r="P814" s="7">
        <f>IF(COUNTIF($J$2:$J$1201,J814)&gt;1,"DUPLICATE","Unique")</f>
        <v/>
      </c>
      <c r="Q814" s="4">
        <f>IF(TRIM(Raw_Data!L814)="","Yes","No")</f>
        <v/>
      </c>
      <c r="R814" s="4">
        <f>IF(ISNUMBER(B814),"Valid","INVALID")</f>
        <v/>
      </c>
    </row>
    <row r="815">
      <c r="A815" s="4">
        <f>TRIM(Raw_Data!A815)</f>
        <v/>
      </c>
      <c r="B815" s="5">
        <f>Raw_Data!B815</f>
        <v/>
      </c>
      <c r="C815" s="4">
        <f>TRIM(Raw_Data!C815)</f>
        <v/>
      </c>
      <c r="D815" s="4">
        <f>PROPER(TRIM(Raw_Data!D815))</f>
        <v/>
      </c>
      <c r="E815" s="4">
        <f>Raw_Data!E815</f>
        <v/>
      </c>
      <c r="F815" s="6">
        <f>ROUND(Raw_Data!F815,2)</f>
        <v/>
      </c>
      <c r="G815" s="4">
        <f>PROPER(TRIM(Raw_Data!G815))</f>
        <v/>
      </c>
      <c r="H815" s="4">
        <f>PROPER(TRIM(Raw_Data!H815))</f>
        <v/>
      </c>
      <c r="I815" s="4">
        <f>PROPER(TRIM(Raw_Data!I815))</f>
        <v/>
      </c>
      <c r="J815" s="4">
        <f>TRIM(Raw_Data!J815)</f>
        <v/>
      </c>
      <c r="K815" s="4">
        <f>Raw_Data!K815</f>
        <v/>
      </c>
      <c r="L815" s="4">
        <f>IF(TRIM(Raw_Data!L815)="","No Coupon",TRIM(Raw_Data!L815))</f>
        <v/>
      </c>
      <c r="M815" s="4">
        <f>PROPER(TRIM(Raw_Data!M815))</f>
        <v/>
      </c>
      <c r="N815" s="6">
        <f>ROUND(Raw_Data!N815,2)</f>
        <v/>
      </c>
      <c r="O815" s="7">
        <f>IF(COUNTIF($A$2:$A$1201,A815)&gt;1,"DUPLICATE","Unique")</f>
        <v/>
      </c>
      <c r="P815" s="7">
        <f>IF(COUNTIF($J$2:$J$1201,J815)&gt;1,"DUPLICATE","Unique")</f>
        <v/>
      </c>
      <c r="Q815" s="4">
        <f>IF(TRIM(Raw_Data!L815)="","Yes","No")</f>
        <v/>
      </c>
      <c r="R815" s="4">
        <f>IF(ISNUMBER(B815),"Valid","INVALID")</f>
        <v/>
      </c>
    </row>
    <row r="816">
      <c r="A816" s="4">
        <f>TRIM(Raw_Data!A816)</f>
        <v/>
      </c>
      <c r="B816" s="5">
        <f>Raw_Data!B816</f>
        <v/>
      </c>
      <c r="C816" s="4">
        <f>TRIM(Raw_Data!C816)</f>
        <v/>
      </c>
      <c r="D816" s="4">
        <f>PROPER(TRIM(Raw_Data!D816))</f>
        <v/>
      </c>
      <c r="E816" s="4">
        <f>Raw_Data!E816</f>
        <v/>
      </c>
      <c r="F816" s="6">
        <f>ROUND(Raw_Data!F816,2)</f>
        <v/>
      </c>
      <c r="G816" s="4">
        <f>PROPER(TRIM(Raw_Data!G816))</f>
        <v/>
      </c>
      <c r="H816" s="4">
        <f>PROPER(TRIM(Raw_Data!H816))</f>
        <v/>
      </c>
      <c r="I816" s="4">
        <f>PROPER(TRIM(Raw_Data!I816))</f>
        <v/>
      </c>
      <c r="J816" s="4">
        <f>TRIM(Raw_Data!J816)</f>
        <v/>
      </c>
      <c r="K816" s="4">
        <f>Raw_Data!K816</f>
        <v/>
      </c>
      <c r="L816" s="4">
        <f>IF(TRIM(Raw_Data!L816)="","No Coupon",TRIM(Raw_Data!L816))</f>
        <v/>
      </c>
      <c r="M816" s="4">
        <f>PROPER(TRIM(Raw_Data!M816))</f>
        <v/>
      </c>
      <c r="N816" s="6">
        <f>ROUND(Raw_Data!N816,2)</f>
        <v/>
      </c>
      <c r="O816" s="7">
        <f>IF(COUNTIF($A$2:$A$1201,A816)&gt;1,"DUPLICATE","Unique")</f>
        <v/>
      </c>
      <c r="P816" s="7">
        <f>IF(COUNTIF($J$2:$J$1201,J816)&gt;1,"DUPLICATE","Unique")</f>
        <v/>
      </c>
      <c r="Q816" s="4">
        <f>IF(TRIM(Raw_Data!L816)="","Yes","No")</f>
        <v/>
      </c>
      <c r="R816" s="4">
        <f>IF(ISNUMBER(B816),"Valid","INVALID")</f>
        <v/>
      </c>
    </row>
    <row r="817">
      <c r="A817" s="4">
        <f>TRIM(Raw_Data!A817)</f>
        <v/>
      </c>
      <c r="B817" s="5">
        <f>Raw_Data!B817</f>
        <v/>
      </c>
      <c r="C817" s="4">
        <f>TRIM(Raw_Data!C817)</f>
        <v/>
      </c>
      <c r="D817" s="4">
        <f>PROPER(TRIM(Raw_Data!D817))</f>
        <v/>
      </c>
      <c r="E817" s="4">
        <f>Raw_Data!E817</f>
        <v/>
      </c>
      <c r="F817" s="6">
        <f>ROUND(Raw_Data!F817,2)</f>
        <v/>
      </c>
      <c r="G817" s="4">
        <f>PROPER(TRIM(Raw_Data!G817))</f>
        <v/>
      </c>
      <c r="H817" s="4">
        <f>PROPER(TRIM(Raw_Data!H817))</f>
        <v/>
      </c>
      <c r="I817" s="4">
        <f>PROPER(TRIM(Raw_Data!I817))</f>
        <v/>
      </c>
      <c r="J817" s="4">
        <f>TRIM(Raw_Data!J817)</f>
        <v/>
      </c>
      <c r="K817" s="4">
        <f>Raw_Data!K817</f>
        <v/>
      </c>
      <c r="L817" s="4">
        <f>IF(TRIM(Raw_Data!L817)="","No Coupon",TRIM(Raw_Data!L817))</f>
        <v/>
      </c>
      <c r="M817" s="4">
        <f>PROPER(TRIM(Raw_Data!M817))</f>
        <v/>
      </c>
      <c r="N817" s="6">
        <f>ROUND(Raw_Data!N817,2)</f>
        <v/>
      </c>
      <c r="O817" s="7">
        <f>IF(COUNTIF($A$2:$A$1201,A817)&gt;1,"DUPLICATE","Unique")</f>
        <v/>
      </c>
      <c r="P817" s="7">
        <f>IF(COUNTIF($J$2:$J$1201,J817)&gt;1,"DUPLICATE","Unique")</f>
        <v/>
      </c>
      <c r="Q817" s="4">
        <f>IF(TRIM(Raw_Data!L817)="","Yes","No")</f>
        <v/>
      </c>
      <c r="R817" s="4">
        <f>IF(ISNUMBER(B817),"Valid","INVALID")</f>
        <v/>
      </c>
    </row>
    <row r="818">
      <c r="A818" s="4">
        <f>TRIM(Raw_Data!A818)</f>
        <v/>
      </c>
      <c r="B818" s="5">
        <f>Raw_Data!B818</f>
        <v/>
      </c>
      <c r="C818" s="4">
        <f>TRIM(Raw_Data!C818)</f>
        <v/>
      </c>
      <c r="D818" s="4">
        <f>PROPER(TRIM(Raw_Data!D818))</f>
        <v/>
      </c>
      <c r="E818" s="4">
        <f>Raw_Data!E818</f>
        <v/>
      </c>
      <c r="F818" s="6">
        <f>ROUND(Raw_Data!F818,2)</f>
        <v/>
      </c>
      <c r="G818" s="4">
        <f>PROPER(TRIM(Raw_Data!G818))</f>
        <v/>
      </c>
      <c r="H818" s="4">
        <f>PROPER(TRIM(Raw_Data!H818))</f>
        <v/>
      </c>
      <c r="I818" s="4">
        <f>PROPER(TRIM(Raw_Data!I818))</f>
        <v/>
      </c>
      <c r="J818" s="4">
        <f>TRIM(Raw_Data!J818)</f>
        <v/>
      </c>
      <c r="K818" s="4">
        <f>Raw_Data!K818</f>
        <v/>
      </c>
      <c r="L818" s="4">
        <f>IF(TRIM(Raw_Data!L818)="","No Coupon",TRIM(Raw_Data!L818))</f>
        <v/>
      </c>
      <c r="M818" s="4">
        <f>PROPER(TRIM(Raw_Data!M818))</f>
        <v/>
      </c>
      <c r="N818" s="6">
        <f>ROUND(Raw_Data!N818,2)</f>
        <v/>
      </c>
      <c r="O818" s="7">
        <f>IF(COUNTIF($A$2:$A$1201,A818)&gt;1,"DUPLICATE","Unique")</f>
        <v/>
      </c>
      <c r="P818" s="7">
        <f>IF(COUNTIF($J$2:$J$1201,J818)&gt;1,"DUPLICATE","Unique")</f>
        <v/>
      </c>
      <c r="Q818" s="4">
        <f>IF(TRIM(Raw_Data!L818)="","Yes","No")</f>
        <v/>
      </c>
      <c r="R818" s="4">
        <f>IF(ISNUMBER(B818),"Valid","INVALID")</f>
        <v/>
      </c>
    </row>
    <row r="819">
      <c r="A819" s="4">
        <f>TRIM(Raw_Data!A819)</f>
        <v/>
      </c>
      <c r="B819" s="5">
        <f>Raw_Data!B819</f>
        <v/>
      </c>
      <c r="C819" s="4">
        <f>TRIM(Raw_Data!C819)</f>
        <v/>
      </c>
      <c r="D819" s="4">
        <f>PROPER(TRIM(Raw_Data!D819))</f>
        <v/>
      </c>
      <c r="E819" s="4">
        <f>Raw_Data!E819</f>
        <v/>
      </c>
      <c r="F819" s="6">
        <f>ROUND(Raw_Data!F819,2)</f>
        <v/>
      </c>
      <c r="G819" s="4">
        <f>PROPER(TRIM(Raw_Data!G819))</f>
        <v/>
      </c>
      <c r="H819" s="4">
        <f>PROPER(TRIM(Raw_Data!H819))</f>
        <v/>
      </c>
      <c r="I819" s="4">
        <f>PROPER(TRIM(Raw_Data!I819))</f>
        <v/>
      </c>
      <c r="J819" s="4">
        <f>TRIM(Raw_Data!J819)</f>
        <v/>
      </c>
      <c r="K819" s="4">
        <f>Raw_Data!K819</f>
        <v/>
      </c>
      <c r="L819" s="4">
        <f>IF(TRIM(Raw_Data!L819)="","No Coupon",TRIM(Raw_Data!L819))</f>
        <v/>
      </c>
      <c r="M819" s="4">
        <f>PROPER(TRIM(Raw_Data!M819))</f>
        <v/>
      </c>
      <c r="N819" s="6">
        <f>ROUND(Raw_Data!N819,2)</f>
        <v/>
      </c>
      <c r="O819" s="7">
        <f>IF(COUNTIF($A$2:$A$1201,A819)&gt;1,"DUPLICATE","Unique")</f>
        <v/>
      </c>
      <c r="P819" s="7">
        <f>IF(COUNTIF($J$2:$J$1201,J819)&gt;1,"DUPLICATE","Unique")</f>
        <v/>
      </c>
      <c r="Q819" s="4">
        <f>IF(TRIM(Raw_Data!L819)="","Yes","No")</f>
        <v/>
      </c>
      <c r="R819" s="4">
        <f>IF(ISNUMBER(B819),"Valid","INVALID")</f>
        <v/>
      </c>
    </row>
    <row r="820">
      <c r="A820" s="4">
        <f>TRIM(Raw_Data!A820)</f>
        <v/>
      </c>
      <c r="B820" s="5">
        <f>Raw_Data!B820</f>
        <v/>
      </c>
      <c r="C820" s="4">
        <f>TRIM(Raw_Data!C820)</f>
        <v/>
      </c>
      <c r="D820" s="4">
        <f>PROPER(TRIM(Raw_Data!D820))</f>
        <v/>
      </c>
      <c r="E820" s="4">
        <f>Raw_Data!E820</f>
        <v/>
      </c>
      <c r="F820" s="6">
        <f>ROUND(Raw_Data!F820,2)</f>
        <v/>
      </c>
      <c r="G820" s="4">
        <f>PROPER(TRIM(Raw_Data!G820))</f>
        <v/>
      </c>
      <c r="H820" s="4">
        <f>PROPER(TRIM(Raw_Data!H820))</f>
        <v/>
      </c>
      <c r="I820" s="4">
        <f>PROPER(TRIM(Raw_Data!I820))</f>
        <v/>
      </c>
      <c r="J820" s="4">
        <f>TRIM(Raw_Data!J820)</f>
        <v/>
      </c>
      <c r="K820" s="4">
        <f>Raw_Data!K820</f>
        <v/>
      </c>
      <c r="L820" s="4">
        <f>IF(TRIM(Raw_Data!L820)="","No Coupon",TRIM(Raw_Data!L820))</f>
        <v/>
      </c>
      <c r="M820" s="4">
        <f>PROPER(TRIM(Raw_Data!M820))</f>
        <v/>
      </c>
      <c r="N820" s="6">
        <f>ROUND(Raw_Data!N820,2)</f>
        <v/>
      </c>
      <c r="O820" s="7">
        <f>IF(COUNTIF($A$2:$A$1201,A820)&gt;1,"DUPLICATE","Unique")</f>
        <v/>
      </c>
      <c r="P820" s="7">
        <f>IF(COUNTIF($J$2:$J$1201,J820)&gt;1,"DUPLICATE","Unique")</f>
        <v/>
      </c>
      <c r="Q820" s="4">
        <f>IF(TRIM(Raw_Data!L820)="","Yes","No")</f>
        <v/>
      </c>
      <c r="R820" s="4">
        <f>IF(ISNUMBER(B820),"Valid","INVALID")</f>
        <v/>
      </c>
    </row>
    <row r="821">
      <c r="A821" s="4">
        <f>TRIM(Raw_Data!A821)</f>
        <v/>
      </c>
      <c r="B821" s="5">
        <f>Raw_Data!B821</f>
        <v/>
      </c>
      <c r="C821" s="4">
        <f>TRIM(Raw_Data!C821)</f>
        <v/>
      </c>
      <c r="D821" s="4">
        <f>PROPER(TRIM(Raw_Data!D821))</f>
        <v/>
      </c>
      <c r="E821" s="4">
        <f>Raw_Data!E821</f>
        <v/>
      </c>
      <c r="F821" s="6">
        <f>ROUND(Raw_Data!F821,2)</f>
        <v/>
      </c>
      <c r="G821" s="4">
        <f>PROPER(TRIM(Raw_Data!G821))</f>
        <v/>
      </c>
      <c r="H821" s="4">
        <f>PROPER(TRIM(Raw_Data!H821))</f>
        <v/>
      </c>
      <c r="I821" s="4">
        <f>PROPER(TRIM(Raw_Data!I821))</f>
        <v/>
      </c>
      <c r="J821" s="4">
        <f>TRIM(Raw_Data!J821)</f>
        <v/>
      </c>
      <c r="K821" s="4">
        <f>Raw_Data!K821</f>
        <v/>
      </c>
      <c r="L821" s="4">
        <f>IF(TRIM(Raw_Data!L821)="","No Coupon",TRIM(Raw_Data!L821))</f>
        <v/>
      </c>
      <c r="M821" s="4">
        <f>PROPER(TRIM(Raw_Data!M821))</f>
        <v/>
      </c>
      <c r="N821" s="6">
        <f>ROUND(Raw_Data!N821,2)</f>
        <v/>
      </c>
      <c r="O821" s="7">
        <f>IF(COUNTIF($A$2:$A$1201,A821)&gt;1,"DUPLICATE","Unique")</f>
        <v/>
      </c>
      <c r="P821" s="7">
        <f>IF(COUNTIF($J$2:$J$1201,J821)&gt;1,"DUPLICATE","Unique")</f>
        <v/>
      </c>
      <c r="Q821" s="4">
        <f>IF(TRIM(Raw_Data!L821)="","Yes","No")</f>
        <v/>
      </c>
      <c r="R821" s="4">
        <f>IF(ISNUMBER(B821),"Valid","INVALID")</f>
        <v/>
      </c>
    </row>
    <row r="822">
      <c r="A822" s="4">
        <f>TRIM(Raw_Data!A822)</f>
        <v/>
      </c>
      <c r="B822" s="5">
        <f>Raw_Data!B822</f>
        <v/>
      </c>
      <c r="C822" s="4">
        <f>TRIM(Raw_Data!C822)</f>
        <v/>
      </c>
      <c r="D822" s="4">
        <f>PROPER(TRIM(Raw_Data!D822))</f>
        <v/>
      </c>
      <c r="E822" s="4">
        <f>Raw_Data!E822</f>
        <v/>
      </c>
      <c r="F822" s="6">
        <f>ROUND(Raw_Data!F822,2)</f>
        <v/>
      </c>
      <c r="G822" s="4">
        <f>PROPER(TRIM(Raw_Data!G822))</f>
        <v/>
      </c>
      <c r="H822" s="4">
        <f>PROPER(TRIM(Raw_Data!H822))</f>
        <v/>
      </c>
      <c r="I822" s="4">
        <f>PROPER(TRIM(Raw_Data!I822))</f>
        <v/>
      </c>
      <c r="J822" s="4">
        <f>TRIM(Raw_Data!J822)</f>
        <v/>
      </c>
      <c r="K822" s="4">
        <f>Raw_Data!K822</f>
        <v/>
      </c>
      <c r="L822" s="4">
        <f>IF(TRIM(Raw_Data!L822)="","No Coupon",TRIM(Raw_Data!L822))</f>
        <v/>
      </c>
      <c r="M822" s="4">
        <f>PROPER(TRIM(Raw_Data!M822))</f>
        <v/>
      </c>
      <c r="N822" s="6">
        <f>ROUND(Raw_Data!N822,2)</f>
        <v/>
      </c>
      <c r="O822" s="7">
        <f>IF(COUNTIF($A$2:$A$1201,A822)&gt;1,"DUPLICATE","Unique")</f>
        <v/>
      </c>
      <c r="P822" s="7">
        <f>IF(COUNTIF($J$2:$J$1201,J822)&gt;1,"DUPLICATE","Unique")</f>
        <v/>
      </c>
      <c r="Q822" s="4">
        <f>IF(TRIM(Raw_Data!L822)="","Yes","No")</f>
        <v/>
      </c>
      <c r="R822" s="4">
        <f>IF(ISNUMBER(B822),"Valid","INVALID")</f>
        <v/>
      </c>
    </row>
    <row r="823">
      <c r="A823" s="4">
        <f>TRIM(Raw_Data!A823)</f>
        <v/>
      </c>
      <c r="B823" s="5">
        <f>Raw_Data!B823</f>
        <v/>
      </c>
      <c r="C823" s="4">
        <f>TRIM(Raw_Data!C823)</f>
        <v/>
      </c>
      <c r="D823" s="4">
        <f>PROPER(TRIM(Raw_Data!D823))</f>
        <v/>
      </c>
      <c r="E823" s="4">
        <f>Raw_Data!E823</f>
        <v/>
      </c>
      <c r="F823" s="6">
        <f>ROUND(Raw_Data!F823,2)</f>
        <v/>
      </c>
      <c r="G823" s="4">
        <f>PROPER(TRIM(Raw_Data!G823))</f>
        <v/>
      </c>
      <c r="H823" s="4">
        <f>PROPER(TRIM(Raw_Data!H823))</f>
        <v/>
      </c>
      <c r="I823" s="4">
        <f>PROPER(TRIM(Raw_Data!I823))</f>
        <v/>
      </c>
      <c r="J823" s="4">
        <f>TRIM(Raw_Data!J823)</f>
        <v/>
      </c>
      <c r="K823" s="4">
        <f>Raw_Data!K823</f>
        <v/>
      </c>
      <c r="L823" s="4">
        <f>IF(TRIM(Raw_Data!L823)="","No Coupon",TRIM(Raw_Data!L823))</f>
        <v/>
      </c>
      <c r="M823" s="4">
        <f>PROPER(TRIM(Raw_Data!M823))</f>
        <v/>
      </c>
      <c r="N823" s="6">
        <f>ROUND(Raw_Data!N823,2)</f>
        <v/>
      </c>
      <c r="O823" s="7">
        <f>IF(COUNTIF($A$2:$A$1201,A823)&gt;1,"DUPLICATE","Unique")</f>
        <v/>
      </c>
      <c r="P823" s="7">
        <f>IF(COUNTIF($J$2:$J$1201,J823)&gt;1,"DUPLICATE","Unique")</f>
        <v/>
      </c>
      <c r="Q823" s="4">
        <f>IF(TRIM(Raw_Data!L823)="","Yes","No")</f>
        <v/>
      </c>
      <c r="R823" s="4">
        <f>IF(ISNUMBER(B823),"Valid","INVALID")</f>
        <v/>
      </c>
    </row>
    <row r="824">
      <c r="A824" s="4">
        <f>TRIM(Raw_Data!A824)</f>
        <v/>
      </c>
      <c r="B824" s="5">
        <f>Raw_Data!B824</f>
        <v/>
      </c>
      <c r="C824" s="4">
        <f>TRIM(Raw_Data!C824)</f>
        <v/>
      </c>
      <c r="D824" s="4">
        <f>PROPER(TRIM(Raw_Data!D824))</f>
        <v/>
      </c>
      <c r="E824" s="4">
        <f>Raw_Data!E824</f>
        <v/>
      </c>
      <c r="F824" s="6">
        <f>ROUND(Raw_Data!F824,2)</f>
        <v/>
      </c>
      <c r="G824" s="4">
        <f>PROPER(TRIM(Raw_Data!G824))</f>
        <v/>
      </c>
      <c r="H824" s="4">
        <f>PROPER(TRIM(Raw_Data!H824))</f>
        <v/>
      </c>
      <c r="I824" s="4">
        <f>PROPER(TRIM(Raw_Data!I824))</f>
        <v/>
      </c>
      <c r="J824" s="4">
        <f>TRIM(Raw_Data!J824)</f>
        <v/>
      </c>
      <c r="K824" s="4">
        <f>Raw_Data!K824</f>
        <v/>
      </c>
      <c r="L824" s="4">
        <f>IF(TRIM(Raw_Data!L824)="","No Coupon",TRIM(Raw_Data!L824))</f>
        <v/>
      </c>
      <c r="M824" s="4">
        <f>PROPER(TRIM(Raw_Data!M824))</f>
        <v/>
      </c>
      <c r="N824" s="6">
        <f>ROUND(Raw_Data!N824,2)</f>
        <v/>
      </c>
      <c r="O824" s="7">
        <f>IF(COUNTIF($A$2:$A$1201,A824)&gt;1,"DUPLICATE","Unique")</f>
        <v/>
      </c>
      <c r="P824" s="7">
        <f>IF(COUNTIF($J$2:$J$1201,J824)&gt;1,"DUPLICATE","Unique")</f>
        <v/>
      </c>
      <c r="Q824" s="4">
        <f>IF(TRIM(Raw_Data!L824)="","Yes","No")</f>
        <v/>
      </c>
      <c r="R824" s="4">
        <f>IF(ISNUMBER(B824),"Valid","INVALID")</f>
        <v/>
      </c>
    </row>
    <row r="825">
      <c r="A825" s="4">
        <f>TRIM(Raw_Data!A825)</f>
        <v/>
      </c>
      <c r="B825" s="5">
        <f>Raw_Data!B825</f>
        <v/>
      </c>
      <c r="C825" s="4">
        <f>TRIM(Raw_Data!C825)</f>
        <v/>
      </c>
      <c r="D825" s="4">
        <f>PROPER(TRIM(Raw_Data!D825))</f>
        <v/>
      </c>
      <c r="E825" s="4">
        <f>Raw_Data!E825</f>
        <v/>
      </c>
      <c r="F825" s="6">
        <f>ROUND(Raw_Data!F825,2)</f>
        <v/>
      </c>
      <c r="G825" s="4">
        <f>PROPER(TRIM(Raw_Data!G825))</f>
        <v/>
      </c>
      <c r="H825" s="4">
        <f>PROPER(TRIM(Raw_Data!H825))</f>
        <v/>
      </c>
      <c r="I825" s="4">
        <f>PROPER(TRIM(Raw_Data!I825))</f>
        <v/>
      </c>
      <c r="J825" s="4">
        <f>TRIM(Raw_Data!J825)</f>
        <v/>
      </c>
      <c r="K825" s="4">
        <f>Raw_Data!K825</f>
        <v/>
      </c>
      <c r="L825" s="4">
        <f>IF(TRIM(Raw_Data!L825)="","No Coupon",TRIM(Raw_Data!L825))</f>
        <v/>
      </c>
      <c r="M825" s="4">
        <f>PROPER(TRIM(Raw_Data!M825))</f>
        <v/>
      </c>
      <c r="N825" s="6">
        <f>ROUND(Raw_Data!N825,2)</f>
        <v/>
      </c>
      <c r="O825" s="7">
        <f>IF(COUNTIF($A$2:$A$1201,A825)&gt;1,"DUPLICATE","Unique")</f>
        <v/>
      </c>
      <c r="P825" s="7">
        <f>IF(COUNTIF($J$2:$J$1201,J825)&gt;1,"DUPLICATE","Unique")</f>
        <v/>
      </c>
      <c r="Q825" s="4">
        <f>IF(TRIM(Raw_Data!L825)="","Yes","No")</f>
        <v/>
      </c>
      <c r="R825" s="4">
        <f>IF(ISNUMBER(B825),"Valid","INVALID")</f>
        <v/>
      </c>
    </row>
    <row r="826">
      <c r="A826" s="4">
        <f>TRIM(Raw_Data!A826)</f>
        <v/>
      </c>
      <c r="B826" s="5">
        <f>Raw_Data!B826</f>
        <v/>
      </c>
      <c r="C826" s="4">
        <f>TRIM(Raw_Data!C826)</f>
        <v/>
      </c>
      <c r="D826" s="4">
        <f>PROPER(TRIM(Raw_Data!D826))</f>
        <v/>
      </c>
      <c r="E826" s="4">
        <f>Raw_Data!E826</f>
        <v/>
      </c>
      <c r="F826" s="6">
        <f>ROUND(Raw_Data!F826,2)</f>
        <v/>
      </c>
      <c r="G826" s="4">
        <f>PROPER(TRIM(Raw_Data!G826))</f>
        <v/>
      </c>
      <c r="H826" s="4">
        <f>PROPER(TRIM(Raw_Data!H826))</f>
        <v/>
      </c>
      <c r="I826" s="4">
        <f>PROPER(TRIM(Raw_Data!I826))</f>
        <v/>
      </c>
      <c r="J826" s="4">
        <f>TRIM(Raw_Data!J826)</f>
        <v/>
      </c>
      <c r="K826" s="4">
        <f>Raw_Data!K826</f>
        <v/>
      </c>
      <c r="L826" s="4">
        <f>IF(TRIM(Raw_Data!L826)="","No Coupon",TRIM(Raw_Data!L826))</f>
        <v/>
      </c>
      <c r="M826" s="4">
        <f>PROPER(TRIM(Raw_Data!M826))</f>
        <v/>
      </c>
      <c r="N826" s="6">
        <f>ROUND(Raw_Data!N826,2)</f>
        <v/>
      </c>
      <c r="O826" s="7">
        <f>IF(COUNTIF($A$2:$A$1201,A826)&gt;1,"DUPLICATE","Unique")</f>
        <v/>
      </c>
      <c r="P826" s="7">
        <f>IF(COUNTIF($J$2:$J$1201,J826)&gt;1,"DUPLICATE","Unique")</f>
        <v/>
      </c>
      <c r="Q826" s="4">
        <f>IF(TRIM(Raw_Data!L826)="","Yes","No")</f>
        <v/>
      </c>
      <c r="R826" s="4">
        <f>IF(ISNUMBER(B826),"Valid","INVALID")</f>
        <v/>
      </c>
    </row>
    <row r="827">
      <c r="A827" s="4">
        <f>TRIM(Raw_Data!A827)</f>
        <v/>
      </c>
      <c r="B827" s="5">
        <f>Raw_Data!B827</f>
        <v/>
      </c>
      <c r="C827" s="4">
        <f>TRIM(Raw_Data!C827)</f>
        <v/>
      </c>
      <c r="D827" s="4">
        <f>PROPER(TRIM(Raw_Data!D827))</f>
        <v/>
      </c>
      <c r="E827" s="4">
        <f>Raw_Data!E827</f>
        <v/>
      </c>
      <c r="F827" s="6">
        <f>ROUND(Raw_Data!F827,2)</f>
        <v/>
      </c>
      <c r="G827" s="4">
        <f>PROPER(TRIM(Raw_Data!G827))</f>
        <v/>
      </c>
      <c r="H827" s="4">
        <f>PROPER(TRIM(Raw_Data!H827))</f>
        <v/>
      </c>
      <c r="I827" s="4">
        <f>PROPER(TRIM(Raw_Data!I827))</f>
        <v/>
      </c>
      <c r="J827" s="4">
        <f>TRIM(Raw_Data!J827)</f>
        <v/>
      </c>
      <c r="K827" s="4">
        <f>Raw_Data!K827</f>
        <v/>
      </c>
      <c r="L827" s="4">
        <f>IF(TRIM(Raw_Data!L827)="","No Coupon",TRIM(Raw_Data!L827))</f>
        <v/>
      </c>
      <c r="M827" s="4">
        <f>PROPER(TRIM(Raw_Data!M827))</f>
        <v/>
      </c>
      <c r="N827" s="6">
        <f>ROUND(Raw_Data!N827,2)</f>
        <v/>
      </c>
      <c r="O827" s="7">
        <f>IF(COUNTIF($A$2:$A$1201,A827)&gt;1,"DUPLICATE","Unique")</f>
        <v/>
      </c>
      <c r="P827" s="7">
        <f>IF(COUNTIF($J$2:$J$1201,J827)&gt;1,"DUPLICATE","Unique")</f>
        <v/>
      </c>
      <c r="Q827" s="4">
        <f>IF(TRIM(Raw_Data!L827)="","Yes","No")</f>
        <v/>
      </c>
      <c r="R827" s="4">
        <f>IF(ISNUMBER(B827),"Valid","INVALID")</f>
        <v/>
      </c>
    </row>
    <row r="828">
      <c r="A828" s="4">
        <f>TRIM(Raw_Data!A828)</f>
        <v/>
      </c>
      <c r="B828" s="5">
        <f>Raw_Data!B828</f>
        <v/>
      </c>
      <c r="C828" s="4">
        <f>TRIM(Raw_Data!C828)</f>
        <v/>
      </c>
      <c r="D828" s="4">
        <f>PROPER(TRIM(Raw_Data!D828))</f>
        <v/>
      </c>
      <c r="E828" s="4">
        <f>Raw_Data!E828</f>
        <v/>
      </c>
      <c r="F828" s="6">
        <f>ROUND(Raw_Data!F828,2)</f>
        <v/>
      </c>
      <c r="G828" s="4">
        <f>PROPER(TRIM(Raw_Data!G828))</f>
        <v/>
      </c>
      <c r="H828" s="4">
        <f>PROPER(TRIM(Raw_Data!H828))</f>
        <v/>
      </c>
      <c r="I828" s="4">
        <f>PROPER(TRIM(Raw_Data!I828))</f>
        <v/>
      </c>
      <c r="J828" s="4">
        <f>TRIM(Raw_Data!J828)</f>
        <v/>
      </c>
      <c r="K828" s="4">
        <f>Raw_Data!K828</f>
        <v/>
      </c>
      <c r="L828" s="4">
        <f>IF(TRIM(Raw_Data!L828)="","No Coupon",TRIM(Raw_Data!L828))</f>
        <v/>
      </c>
      <c r="M828" s="4">
        <f>PROPER(TRIM(Raw_Data!M828))</f>
        <v/>
      </c>
      <c r="N828" s="6">
        <f>ROUND(Raw_Data!N828,2)</f>
        <v/>
      </c>
      <c r="O828" s="7">
        <f>IF(COUNTIF($A$2:$A$1201,A828)&gt;1,"DUPLICATE","Unique")</f>
        <v/>
      </c>
      <c r="P828" s="7">
        <f>IF(COUNTIF($J$2:$J$1201,J828)&gt;1,"DUPLICATE","Unique")</f>
        <v/>
      </c>
      <c r="Q828" s="4">
        <f>IF(TRIM(Raw_Data!L828)="","Yes","No")</f>
        <v/>
      </c>
      <c r="R828" s="4">
        <f>IF(ISNUMBER(B828),"Valid","INVALID")</f>
        <v/>
      </c>
    </row>
    <row r="829">
      <c r="A829" s="4">
        <f>TRIM(Raw_Data!A829)</f>
        <v/>
      </c>
      <c r="B829" s="5">
        <f>Raw_Data!B829</f>
        <v/>
      </c>
      <c r="C829" s="4">
        <f>TRIM(Raw_Data!C829)</f>
        <v/>
      </c>
      <c r="D829" s="4">
        <f>PROPER(TRIM(Raw_Data!D829))</f>
        <v/>
      </c>
      <c r="E829" s="4">
        <f>Raw_Data!E829</f>
        <v/>
      </c>
      <c r="F829" s="6">
        <f>ROUND(Raw_Data!F829,2)</f>
        <v/>
      </c>
      <c r="G829" s="4">
        <f>PROPER(TRIM(Raw_Data!G829))</f>
        <v/>
      </c>
      <c r="H829" s="4">
        <f>PROPER(TRIM(Raw_Data!H829))</f>
        <v/>
      </c>
      <c r="I829" s="4">
        <f>PROPER(TRIM(Raw_Data!I829))</f>
        <v/>
      </c>
      <c r="J829" s="4">
        <f>TRIM(Raw_Data!J829)</f>
        <v/>
      </c>
      <c r="K829" s="4">
        <f>Raw_Data!K829</f>
        <v/>
      </c>
      <c r="L829" s="4">
        <f>IF(TRIM(Raw_Data!L829)="","No Coupon",TRIM(Raw_Data!L829))</f>
        <v/>
      </c>
      <c r="M829" s="4">
        <f>PROPER(TRIM(Raw_Data!M829))</f>
        <v/>
      </c>
      <c r="N829" s="6">
        <f>ROUND(Raw_Data!N829,2)</f>
        <v/>
      </c>
      <c r="O829" s="7">
        <f>IF(COUNTIF($A$2:$A$1201,A829)&gt;1,"DUPLICATE","Unique")</f>
        <v/>
      </c>
      <c r="P829" s="7">
        <f>IF(COUNTIF($J$2:$J$1201,J829)&gt;1,"DUPLICATE","Unique")</f>
        <v/>
      </c>
      <c r="Q829" s="4">
        <f>IF(TRIM(Raw_Data!L829)="","Yes","No")</f>
        <v/>
      </c>
      <c r="R829" s="4">
        <f>IF(ISNUMBER(B829),"Valid","INVALID")</f>
        <v/>
      </c>
    </row>
    <row r="830">
      <c r="A830" s="4">
        <f>TRIM(Raw_Data!A830)</f>
        <v/>
      </c>
      <c r="B830" s="5">
        <f>Raw_Data!B830</f>
        <v/>
      </c>
      <c r="C830" s="4">
        <f>TRIM(Raw_Data!C830)</f>
        <v/>
      </c>
      <c r="D830" s="4">
        <f>PROPER(TRIM(Raw_Data!D830))</f>
        <v/>
      </c>
      <c r="E830" s="4">
        <f>Raw_Data!E830</f>
        <v/>
      </c>
      <c r="F830" s="6">
        <f>ROUND(Raw_Data!F830,2)</f>
        <v/>
      </c>
      <c r="G830" s="4">
        <f>PROPER(TRIM(Raw_Data!G830))</f>
        <v/>
      </c>
      <c r="H830" s="4">
        <f>PROPER(TRIM(Raw_Data!H830))</f>
        <v/>
      </c>
      <c r="I830" s="4">
        <f>PROPER(TRIM(Raw_Data!I830))</f>
        <v/>
      </c>
      <c r="J830" s="4">
        <f>TRIM(Raw_Data!J830)</f>
        <v/>
      </c>
      <c r="K830" s="4">
        <f>Raw_Data!K830</f>
        <v/>
      </c>
      <c r="L830" s="4">
        <f>IF(TRIM(Raw_Data!L830)="","No Coupon",TRIM(Raw_Data!L830))</f>
        <v/>
      </c>
      <c r="M830" s="4">
        <f>PROPER(TRIM(Raw_Data!M830))</f>
        <v/>
      </c>
      <c r="N830" s="6">
        <f>ROUND(Raw_Data!N830,2)</f>
        <v/>
      </c>
      <c r="O830" s="7">
        <f>IF(COUNTIF($A$2:$A$1201,A830)&gt;1,"DUPLICATE","Unique")</f>
        <v/>
      </c>
      <c r="P830" s="7">
        <f>IF(COUNTIF($J$2:$J$1201,J830)&gt;1,"DUPLICATE","Unique")</f>
        <v/>
      </c>
      <c r="Q830" s="4">
        <f>IF(TRIM(Raw_Data!L830)="","Yes","No")</f>
        <v/>
      </c>
      <c r="R830" s="4">
        <f>IF(ISNUMBER(B830),"Valid","INVALID")</f>
        <v/>
      </c>
    </row>
    <row r="831">
      <c r="A831" s="4">
        <f>TRIM(Raw_Data!A831)</f>
        <v/>
      </c>
      <c r="B831" s="5">
        <f>Raw_Data!B831</f>
        <v/>
      </c>
      <c r="C831" s="4">
        <f>TRIM(Raw_Data!C831)</f>
        <v/>
      </c>
      <c r="D831" s="4">
        <f>PROPER(TRIM(Raw_Data!D831))</f>
        <v/>
      </c>
      <c r="E831" s="4">
        <f>Raw_Data!E831</f>
        <v/>
      </c>
      <c r="F831" s="6">
        <f>ROUND(Raw_Data!F831,2)</f>
        <v/>
      </c>
      <c r="G831" s="4">
        <f>PROPER(TRIM(Raw_Data!G831))</f>
        <v/>
      </c>
      <c r="H831" s="4">
        <f>PROPER(TRIM(Raw_Data!H831))</f>
        <v/>
      </c>
      <c r="I831" s="4">
        <f>PROPER(TRIM(Raw_Data!I831))</f>
        <v/>
      </c>
      <c r="J831" s="4">
        <f>TRIM(Raw_Data!J831)</f>
        <v/>
      </c>
      <c r="K831" s="4">
        <f>Raw_Data!K831</f>
        <v/>
      </c>
      <c r="L831" s="4">
        <f>IF(TRIM(Raw_Data!L831)="","No Coupon",TRIM(Raw_Data!L831))</f>
        <v/>
      </c>
      <c r="M831" s="4">
        <f>PROPER(TRIM(Raw_Data!M831))</f>
        <v/>
      </c>
      <c r="N831" s="6">
        <f>ROUND(Raw_Data!N831,2)</f>
        <v/>
      </c>
      <c r="O831" s="7">
        <f>IF(COUNTIF($A$2:$A$1201,A831)&gt;1,"DUPLICATE","Unique")</f>
        <v/>
      </c>
      <c r="P831" s="7">
        <f>IF(COUNTIF($J$2:$J$1201,J831)&gt;1,"DUPLICATE","Unique")</f>
        <v/>
      </c>
      <c r="Q831" s="4">
        <f>IF(TRIM(Raw_Data!L831)="","Yes","No")</f>
        <v/>
      </c>
      <c r="R831" s="4">
        <f>IF(ISNUMBER(B831),"Valid","INVALID")</f>
        <v/>
      </c>
    </row>
    <row r="832">
      <c r="A832" s="4">
        <f>TRIM(Raw_Data!A832)</f>
        <v/>
      </c>
      <c r="B832" s="5">
        <f>Raw_Data!B832</f>
        <v/>
      </c>
      <c r="C832" s="4">
        <f>TRIM(Raw_Data!C832)</f>
        <v/>
      </c>
      <c r="D832" s="4">
        <f>PROPER(TRIM(Raw_Data!D832))</f>
        <v/>
      </c>
      <c r="E832" s="4">
        <f>Raw_Data!E832</f>
        <v/>
      </c>
      <c r="F832" s="6">
        <f>ROUND(Raw_Data!F832,2)</f>
        <v/>
      </c>
      <c r="G832" s="4">
        <f>PROPER(TRIM(Raw_Data!G832))</f>
        <v/>
      </c>
      <c r="H832" s="4">
        <f>PROPER(TRIM(Raw_Data!H832))</f>
        <v/>
      </c>
      <c r="I832" s="4">
        <f>PROPER(TRIM(Raw_Data!I832))</f>
        <v/>
      </c>
      <c r="J832" s="4">
        <f>TRIM(Raw_Data!J832)</f>
        <v/>
      </c>
      <c r="K832" s="4">
        <f>Raw_Data!K832</f>
        <v/>
      </c>
      <c r="L832" s="4">
        <f>IF(TRIM(Raw_Data!L832)="","No Coupon",TRIM(Raw_Data!L832))</f>
        <v/>
      </c>
      <c r="M832" s="4">
        <f>PROPER(TRIM(Raw_Data!M832))</f>
        <v/>
      </c>
      <c r="N832" s="6">
        <f>ROUND(Raw_Data!N832,2)</f>
        <v/>
      </c>
      <c r="O832" s="7">
        <f>IF(COUNTIF($A$2:$A$1201,A832)&gt;1,"DUPLICATE","Unique")</f>
        <v/>
      </c>
      <c r="P832" s="7">
        <f>IF(COUNTIF($J$2:$J$1201,J832)&gt;1,"DUPLICATE","Unique")</f>
        <v/>
      </c>
      <c r="Q832" s="4">
        <f>IF(TRIM(Raw_Data!L832)="","Yes","No")</f>
        <v/>
      </c>
      <c r="R832" s="4">
        <f>IF(ISNUMBER(B832),"Valid","INVALID")</f>
        <v/>
      </c>
    </row>
    <row r="833">
      <c r="A833" s="4">
        <f>TRIM(Raw_Data!A833)</f>
        <v/>
      </c>
      <c r="B833" s="5">
        <f>Raw_Data!B833</f>
        <v/>
      </c>
      <c r="C833" s="4">
        <f>TRIM(Raw_Data!C833)</f>
        <v/>
      </c>
      <c r="D833" s="4">
        <f>PROPER(TRIM(Raw_Data!D833))</f>
        <v/>
      </c>
      <c r="E833" s="4">
        <f>Raw_Data!E833</f>
        <v/>
      </c>
      <c r="F833" s="6">
        <f>ROUND(Raw_Data!F833,2)</f>
        <v/>
      </c>
      <c r="G833" s="4">
        <f>PROPER(TRIM(Raw_Data!G833))</f>
        <v/>
      </c>
      <c r="H833" s="4">
        <f>PROPER(TRIM(Raw_Data!H833))</f>
        <v/>
      </c>
      <c r="I833" s="4">
        <f>PROPER(TRIM(Raw_Data!I833))</f>
        <v/>
      </c>
      <c r="J833" s="4">
        <f>TRIM(Raw_Data!J833)</f>
        <v/>
      </c>
      <c r="K833" s="4">
        <f>Raw_Data!K833</f>
        <v/>
      </c>
      <c r="L833" s="4">
        <f>IF(TRIM(Raw_Data!L833)="","No Coupon",TRIM(Raw_Data!L833))</f>
        <v/>
      </c>
      <c r="M833" s="4">
        <f>PROPER(TRIM(Raw_Data!M833))</f>
        <v/>
      </c>
      <c r="N833" s="6">
        <f>ROUND(Raw_Data!N833,2)</f>
        <v/>
      </c>
      <c r="O833" s="7">
        <f>IF(COUNTIF($A$2:$A$1201,A833)&gt;1,"DUPLICATE","Unique")</f>
        <v/>
      </c>
      <c r="P833" s="7">
        <f>IF(COUNTIF($J$2:$J$1201,J833)&gt;1,"DUPLICATE","Unique")</f>
        <v/>
      </c>
      <c r="Q833" s="4">
        <f>IF(TRIM(Raw_Data!L833)="","Yes","No")</f>
        <v/>
      </c>
      <c r="R833" s="4">
        <f>IF(ISNUMBER(B833),"Valid","INVALID")</f>
        <v/>
      </c>
    </row>
    <row r="834">
      <c r="A834" s="4">
        <f>TRIM(Raw_Data!A834)</f>
        <v/>
      </c>
      <c r="B834" s="5">
        <f>Raw_Data!B834</f>
        <v/>
      </c>
      <c r="C834" s="4">
        <f>TRIM(Raw_Data!C834)</f>
        <v/>
      </c>
      <c r="D834" s="4">
        <f>PROPER(TRIM(Raw_Data!D834))</f>
        <v/>
      </c>
      <c r="E834" s="4">
        <f>Raw_Data!E834</f>
        <v/>
      </c>
      <c r="F834" s="6">
        <f>ROUND(Raw_Data!F834,2)</f>
        <v/>
      </c>
      <c r="G834" s="4">
        <f>PROPER(TRIM(Raw_Data!G834))</f>
        <v/>
      </c>
      <c r="H834" s="4">
        <f>PROPER(TRIM(Raw_Data!H834))</f>
        <v/>
      </c>
      <c r="I834" s="4">
        <f>PROPER(TRIM(Raw_Data!I834))</f>
        <v/>
      </c>
      <c r="J834" s="4">
        <f>TRIM(Raw_Data!J834)</f>
        <v/>
      </c>
      <c r="K834" s="4">
        <f>Raw_Data!K834</f>
        <v/>
      </c>
      <c r="L834" s="4">
        <f>IF(TRIM(Raw_Data!L834)="","No Coupon",TRIM(Raw_Data!L834))</f>
        <v/>
      </c>
      <c r="M834" s="4">
        <f>PROPER(TRIM(Raw_Data!M834))</f>
        <v/>
      </c>
      <c r="N834" s="6">
        <f>ROUND(Raw_Data!N834,2)</f>
        <v/>
      </c>
      <c r="O834" s="7">
        <f>IF(COUNTIF($A$2:$A$1201,A834)&gt;1,"DUPLICATE","Unique")</f>
        <v/>
      </c>
      <c r="P834" s="7">
        <f>IF(COUNTIF($J$2:$J$1201,J834)&gt;1,"DUPLICATE","Unique")</f>
        <v/>
      </c>
      <c r="Q834" s="4">
        <f>IF(TRIM(Raw_Data!L834)="","Yes","No")</f>
        <v/>
      </c>
      <c r="R834" s="4">
        <f>IF(ISNUMBER(B834),"Valid","INVALID")</f>
        <v/>
      </c>
    </row>
    <row r="835">
      <c r="A835" s="4">
        <f>TRIM(Raw_Data!A835)</f>
        <v/>
      </c>
      <c r="B835" s="5">
        <f>Raw_Data!B835</f>
        <v/>
      </c>
      <c r="C835" s="4">
        <f>TRIM(Raw_Data!C835)</f>
        <v/>
      </c>
      <c r="D835" s="4">
        <f>PROPER(TRIM(Raw_Data!D835))</f>
        <v/>
      </c>
      <c r="E835" s="4">
        <f>Raw_Data!E835</f>
        <v/>
      </c>
      <c r="F835" s="6">
        <f>ROUND(Raw_Data!F835,2)</f>
        <v/>
      </c>
      <c r="G835" s="4">
        <f>PROPER(TRIM(Raw_Data!G835))</f>
        <v/>
      </c>
      <c r="H835" s="4">
        <f>PROPER(TRIM(Raw_Data!H835))</f>
        <v/>
      </c>
      <c r="I835" s="4">
        <f>PROPER(TRIM(Raw_Data!I835))</f>
        <v/>
      </c>
      <c r="J835" s="4">
        <f>TRIM(Raw_Data!J835)</f>
        <v/>
      </c>
      <c r="K835" s="4">
        <f>Raw_Data!K835</f>
        <v/>
      </c>
      <c r="L835" s="4">
        <f>IF(TRIM(Raw_Data!L835)="","No Coupon",TRIM(Raw_Data!L835))</f>
        <v/>
      </c>
      <c r="M835" s="4">
        <f>PROPER(TRIM(Raw_Data!M835))</f>
        <v/>
      </c>
      <c r="N835" s="6">
        <f>ROUND(Raw_Data!N835,2)</f>
        <v/>
      </c>
      <c r="O835" s="7">
        <f>IF(COUNTIF($A$2:$A$1201,A835)&gt;1,"DUPLICATE","Unique")</f>
        <v/>
      </c>
      <c r="P835" s="7">
        <f>IF(COUNTIF($J$2:$J$1201,J835)&gt;1,"DUPLICATE","Unique")</f>
        <v/>
      </c>
      <c r="Q835" s="4">
        <f>IF(TRIM(Raw_Data!L835)="","Yes","No")</f>
        <v/>
      </c>
      <c r="R835" s="4">
        <f>IF(ISNUMBER(B835),"Valid","INVALID")</f>
        <v/>
      </c>
    </row>
    <row r="836">
      <c r="A836" s="4">
        <f>TRIM(Raw_Data!A836)</f>
        <v/>
      </c>
      <c r="B836" s="5">
        <f>Raw_Data!B836</f>
        <v/>
      </c>
      <c r="C836" s="4">
        <f>TRIM(Raw_Data!C836)</f>
        <v/>
      </c>
      <c r="D836" s="4">
        <f>PROPER(TRIM(Raw_Data!D836))</f>
        <v/>
      </c>
      <c r="E836" s="4">
        <f>Raw_Data!E836</f>
        <v/>
      </c>
      <c r="F836" s="6">
        <f>ROUND(Raw_Data!F836,2)</f>
        <v/>
      </c>
      <c r="G836" s="4">
        <f>PROPER(TRIM(Raw_Data!G836))</f>
        <v/>
      </c>
      <c r="H836" s="4">
        <f>PROPER(TRIM(Raw_Data!H836))</f>
        <v/>
      </c>
      <c r="I836" s="4">
        <f>PROPER(TRIM(Raw_Data!I836))</f>
        <v/>
      </c>
      <c r="J836" s="4">
        <f>TRIM(Raw_Data!J836)</f>
        <v/>
      </c>
      <c r="K836" s="4">
        <f>Raw_Data!K836</f>
        <v/>
      </c>
      <c r="L836" s="4">
        <f>IF(TRIM(Raw_Data!L836)="","No Coupon",TRIM(Raw_Data!L836))</f>
        <v/>
      </c>
      <c r="M836" s="4">
        <f>PROPER(TRIM(Raw_Data!M836))</f>
        <v/>
      </c>
      <c r="N836" s="6">
        <f>ROUND(Raw_Data!N836,2)</f>
        <v/>
      </c>
      <c r="O836" s="7">
        <f>IF(COUNTIF($A$2:$A$1201,A836)&gt;1,"DUPLICATE","Unique")</f>
        <v/>
      </c>
      <c r="P836" s="7">
        <f>IF(COUNTIF($J$2:$J$1201,J836)&gt;1,"DUPLICATE","Unique")</f>
        <v/>
      </c>
      <c r="Q836" s="4">
        <f>IF(TRIM(Raw_Data!L836)="","Yes","No")</f>
        <v/>
      </c>
      <c r="R836" s="4">
        <f>IF(ISNUMBER(B836),"Valid","INVALID")</f>
        <v/>
      </c>
    </row>
    <row r="837">
      <c r="A837" s="4">
        <f>TRIM(Raw_Data!A837)</f>
        <v/>
      </c>
      <c r="B837" s="5">
        <f>Raw_Data!B837</f>
        <v/>
      </c>
      <c r="C837" s="4">
        <f>TRIM(Raw_Data!C837)</f>
        <v/>
      </c>
      <c r="D837" s="4">
        <f>PROPER(TRIM(Raw_Data!D837))</f>
        <v/>
      </c>
      <c r="E837" s="4">
        <f>Raw_Data!E837</f>
        <v/>
      </c>
      <c r="F837" s="6">
        <f>ROUND(Raw_Data!F837,2)</f>
        <v/>
      </c>
      <c r="G837" s="4">
        <f>PROPER(TRIM(Raw_Data!G837))</f>
        <v/>
      </c>
      <c r="H837" s="4">
        <f>PROPER(TRIM(Raw_Data!H837))</f>
        <v/>
      </c>
      <c r="I837" s="4">
        <f>PROPER(TRIM(Raw_Data!I837))</f>
        <v/>
      </c>
      <c r="J837" s="4">
        <f>TRIM(Raw_Data!J837)</f>
        <v/>
      </c>
      <c r="K837" s="4">
        <f>Raw_Data!K837</f>
        <v/>
      </c>
      <c r="L837" s="4">
        <f>IF(TRIM(Raw_Data!L837)="","No Coupon",TRIM(Raw_Data!L837))</f>
        <v/>
      </c>
      <c r="M837" s="4">
        <f>PROPER(TRIM(Raw_Data!M837))</f>
        <v/>
      </c>
      <c r="N837" s="6">
        <f>ROUND(Raw_Data!N837,2)</f>
        <v/>
      </c>
      <c r="O837" s="7">
        <f>IF(COUNTIF($A$2:$A$1201,A837)&gt;1,"DUPLICATE","Unique")</f>
        <v/>
      </c>
      <c r="P837" s="7">
        <f>IF(COUNTIF($J$2:$J$1201,J837)&gt;1,"DUPLICATE","Unique")</f>
        <v/>
      </c>
      <c r="Q837" s="4">
        <f>IF(TRIM(Raw_Data!L837)="","Yes","No")</f>
        <v/>
      </c>
      <c r="R837" s="4">
        <f>IF(ISNUMBER(B837),"Valid","INVALID")</f>
        <v/>
      </c>
    </row>
    <row r="838">
      <c r="A838" s="4">
        <f>TRIM(Raw_Data!A838)</f>
        <v/>
      </c>
      <c r="B838" s="5">
        <f>Raw_Data!B838</f>
        <v/>
      </c>
      <c r="C838" s="4">
        <f>TRIM(Raw_Data!C838)</f>
        <v/>
      </c>
      <c r="D838" s="4">
        <f>PROPER(TRIM(Raw_Data!D838))</f>
        <v/>
      </c>
      <c r="E838" s="4">
        <f>Raw_Data!E838</f>
        <v/>
      </c>
      <c r="F838" s="6">
        <f>ROUND(Raw_Data!F838,2)</f>
        <v/>
      </c>
      <c r="G838" s="4">
        <f>PROPER(TRIM(Raw_Data!G838))</f>
        <v/>
      </c>
      <c r="H838" s="4">
        <f>PROPER(TRIM(Raw_Data!H838))</f>
        <v/>
      </c>
      <c r="I838" s="4">
        <f>PROPER(TRIM(Raw_Data!I838))</f>
        <v/>
      </c>
      <c r="J838" s="4">
        <f>TRIM(Raw_Data!J838)</f>
        <v/>
      </c>
      <c r="K838" s="4">
        <f>Raw_Data!K838</f>
        <v/>
      </c>
      <c r="L838" s="4">
        <f>IF(TRIM(Raw_Data!L838)="","No Coupon",TRIM(Raw_Data!L838))</f>
        <v/>
      </c>
      <c r="M838" s="4">
        <f>PROPER(TRIM(Raw_Data!M838))</f>
        <v/>
      </c>
      <c r="N838" s="6">
        <f>ROUND(Raw_Data!N838,2)</f>
        <v/>
      </c>
      <c r="O838" s="7">
        <f>IF(COUNTIF($A$2:$A$1201,A838)&gt;1,"DUPLICATE","Unique")</f>
        <v/>
      </c>
      <c r="P838" s="7">
        <f>IF(COUNTIF($J$2:$J$1201,J838)&gt;1,"DUPLICATE","Unique")</f>
        <v/>
      </c>
      <c r="Q838" s="4">
        <f>IF(TRIM(Raw_Data!L838)="","Yes","No")</f>
        <v/>
      </c>
      <c r="R838" s="4">
        <f>IF(ISNUMBER(B838),"Valid","INVALID")</f>
        <v/>
      </c>
    </row>
    <row r="839">
      <c r="A839" s="4">
        <f>TRIM(Raw_Data!A839)</f>
        <v/>
      </c>
      <c r="B839" s="5">
        <f>Raw_Data!B839</f>
        <v/>
      </c>
      <c r="C839" s="4">
        <f>TRIM(Raw_Data!C839)</f>
        <v/>
      </c>
      <c r="D839" s="4">
        <f>PROPER(TRIM(Raw_Data!D839))</f>
        <v/>
      </c>
      <c r="E839" s="4">
        <f>Raw_Data!E839</f>
        <v/>
      </c>
      <c r="F839" s="6">
        <f>ROUND(Raw_Data!F839,2)</f>
        <v/>
      </c>
      <c r="G839" s="4">
        <f>PROPER(TRIM(Raw_Data!G839))</f>
        <v/>
      </c>
      <c r="H839" s="4">
        <f>PROPER(TRIM(Raw_Data!H839))</f>
        <v/>
      </c>
      <c r="I839" s="4">
        <f>PROPER(TRIM(Raw_Data!I839))</f>
        <v/>
      </c>
      <c r="J839" s="4">
        <f>TRIM(Raw_Data!J839)</f>
        <v/>
      </c>
      <c r="K839" s="4">
        <f>Raw_Data!K839</f>
        <v/>
      </c>
      <c r="L839" s="4">
        <f>IF(TRIM(Raw_Data!L839)="","No Coupon",TRIM(Raw_Data!L839))</f>
        <v/>
      </c>
      <c r="M839" s="4">
        <f>PROPER(TRIM(Raw_Data!M839))</f>
        <v/>
      </c>
      <c r="N839" s="6">
        <f>ROUND(Raw_Data!N839,2)</f>
        <v/>
      </c>
      <c r="O839" s="7">
        <f>IF(COUNTIF($A$2:$A$1201,A839)&gt;1,"DUPLICATE","Unique")</f>
        <v/>
      </c>
      <c r="P839" s="7">
        <f>IF(COUNTIF($J$2:$J$1201,J839)&gt;1,"DUPLICATE","Unique")</f>
        <v/>
      </c>
      <c r="Q839" s="4">
        <f>IF(TRIM(Raw_Data!L839)="","Yes","No")</f>
        <v/>
      </c>
      <c r="R839" s="4">
        <f>IF(ISNUMBER(B839),"Valid","INVALID")</f>
        <v/>
      </c>
    </row>
    <row r="840">
      <c r="A840" s="4">
        <f>TRIM(Raw_Data!A840)</f>
        <v/>
      </c>
      <c r="B840" s="5">
        <f>Raw_Data!B840</f>
        <v/>
      </c>
      <c r="C840" s="4">
        <f>TRIM(Raw_Data!C840)</f>
        <v/>
      </c>
      <c r="D840" s="4">
        <f>PROPER(TRIM(Raw_Data!D840))</f>
        <v/>
      </c>
      <c r="E840" s="4">
        <f>Raw_Data!E840</f>
        <v/>
      </c>
      <c r="F840" s="6">
        <f>ROUND(Raw_Data!F840,2)</f>
        <v/>
      </c>
      <c r="G840" s="4">
        <f>PROPER(TRIM(Raw_Data!G840))</f>
        <v/>
      </c>
      <c r="H840" s="4">
        <f>PROPER(TRIM(Raw_Data!H840))</f>
        <v/>
      </c>
      <c r="I840" s="4">
        <f>PROPER(TRIM(Raw_Data!I840))</f>
        <v/>
      </c>
      <c r="J840" s="4">
        <f>TRIM(Raw_Data!J840)</f>
        <v/>
      </c>
      <c r="K840" s="4">
        <f>Raw_Data!K840</f>
        <v/>
      </c>
      <c r="L840" s="4">
        <f>IF(TRIM(Raw_Data!L840)="","No Coupon",TRIM(Raw_Data!L840))</f>
        <v/>
      </c>
      <c r="M840" s="4">
        <f>PROPER(TRIM(Raw_Data!M840))</f>
        <v/>
      </c>
      <c r="N840" s="6">
        <f>ROUND(Raw_Data!N840,2)</f>
        <v/>
      </c>
      <c r="O840" s="7">
        <f>IF(COUNTIF($A$2:$A$1201,A840)&gt;1,"DUPLICATE","Unique")</f>
        <v/>
      </c>
      <c r="P840" s="7">
        <f>IF(COUNTIF($J$2:$J$1201,J840)&gt;1,"DUPLICATE","Unique")</f>
        <v/>
      </c>
      <c r="Q840" s="4">
        <f>IF(TRIM(Raw_Data!L840)="","Yes","No")</f>
        <v/>
      </c>
      <c r="R840" s="4">
        <f>IF(ISNUMBER(B840),"Valid","INVALID")</f>
        <v/>
      </c>
    </row>
    <row r="841">
      <c r="A841" s="4">
        <f>TRIM(Raw_Data!A841)</f>
        <v/>
      </c>
      <c r="B841" s="5">
        <f>Raw_Data!B841</f>
        <v/>
      </c>
      <c r="C841" s="4">
        <f>TRIM(Raw_Data!C841)</f>
        <v/>
      </c>
      <c r="D841" s="4">
        <f>PROPER(TRIM(Raw_Data!D841))</f>
        <v/>
      </c>
      <c r="E841" s="4">
        <f>Raw_Data!E841</f>
        <v/>
      </c>
      <c r="F841" s="6">
        <f>ROUND(Raw_Data!F841,2)</f>
        <v/>
      </c>
      <c r="G841" s="4">
        <f>PROPER(TRIM(Raw_Data!G841))</f>
        <v/>
      </c>
      <c r="H841" s="4">
        <f>PROPER(TRIM(Raw_Data!H841))</f>
        <v/>
      </c>
      <c r="I841" s="4">
        <f>PROPER(TRIM(Raw_Data!I841))</f>
        <v/>
      </c>
      <c r="J841" s="4">
        <f>TRIM(Raw_Data!J841)</f>
        <v/>
      </c>
      <c r="K841" s="4">
        <f>Raw_Data!K841</f>
        <v/>
      </c>
      <c r="L841" s="4">
        <f>IF(TRIM(Raw_Data!L841)="","No Coupon",TRIM(Raw_Data!L841))</f>
        <v/>
      </c>
      <c r="M841" s="4">
        <f>PROPER(TRIM(Raw_Data!M841))</f>
        <v/>
      </c>
      <c r="N841" s="6">
        <f>ROUND(Raw_Data!N841,2)</f>
        <v/>
      </c>
      <c r="O841" s="7">
        <f>IF(COUNTIF($A$2:$A$1201,A841)&gt;1,"DUPLICATE","Unique")</f>
        <v/>
      </c>
      <c r="P841" s="7">
        <f>IF(COUNTIF($J$2:$J$1201,J841)&gt;1,"DUPLICATE","Unique")</f>
        <v/>
      </c>
      <c r="Q841" s="4">
        <f>IF(TRIM(Raw_Data!L841)="","Yes","No")</f>
        <v/>
      </c>
      <c r="R841" s="4">
        <f>IF(ISNUMBER(B841),"Valid","INVALID")</f>
        <v/>
      </c>
    </row>
    <row r="842">
      <c r="A842" s="4">
        <f>TRIM(Raw_Data!A842)</f>
        <v/>
      </c>
      <c r="B842" s="5">
        <f>Raw_Data!B842</f>
        <v/>
      </c>
      <c r="C842" s="4">
        <f>TRIM(Raw_Data!C842)</f>
        <v/>
      </c>
      <c r="D842" s="4">
        <f>PROPER(TRIM(Raw_Data!D842))</f>
        <v/>
      </c>
      <c r="E842" s="4">
        <f>Raw_Data!E842</f>
        <v/>
      </c>
      <c r="F842" s="6">
        <f>ROUND(Raw_Data!F842,2)</f>
        <v/>
      </c>
      <c r="G842" s="4">
        <f>PROPER(TRIM(Raw_Data!G842))</f>
        <v/>
      </c>
      <c r="H842" s="4">
        <f>PROPER(TRIM(Raw_Data!H842))</f>
        <v/>
      </c>
      <c r="I842" s="4">
        <f>PROPER(TRIM(Raw_Data!I842))</f>
        <v/>
      </c>
      <c r="J842" s="4">
        <f>TRIM(Raw_Data!J842)</f>
        <v/>
      </c>
      <c r="K842" s="4">
        <f>Raw_Data!K842</f>
        <v/>
      </c>
      <c r="L842" s="4">
        <f>IF(TRIM(Raw_Data!L842)="","No Coupon",TRIM(Raw_Data!L842))</f>
        <v/>
      </c>
      <c r="M842" s="4">
        <f>PROPER(TRIM(Raw_Data!M842))</f>
        <v/>
      </c>
      <c r="N842" s="6">
        <f>ROUND(Raw_Data!N842,2)</f>
        <v/>
      </c>
      <c r="O842" s="7">
        <f>IF(COUNTIF($A$2:$A$1201,A842)&gt;1,"DUPLICATE","Unique")</f>
        <v/>
      </c>
      <c r="P842" s="7">
        <f>IF(COUNTIF($J$2:$J$1201,J842)&gt;1,"DUPLICATE","Unique")</f>
        <v/>
      </c>
      <c r="Q842" s="4">
        <f>IF(TRIM(Raw_Data!L842)="","Yes","No")</f>
        <v/>
      </c>
      <c r="R842" s="4">
        <f>IF(ISNUMBER(B842),"Valid","INVALID")</f>
        <v/>
      </c>
    </row>
    <row r="843">
      <c r="A843" s="4">
        <f>TRIM(Raw_Data!A843)</f>
        <v/>
      </c>
      <c r="B843" s="5">
        <f>Raw_Data!B843</f>
        <v/>
      </c>
      <c r="C843" s="4">
        <f>TRIM(Raw_Data!C843)</f>
        <v/>
      </c>
      <c r="D843" s="4">
        <f>PROPER(TRIM(Raw_Data!D843))</f>
        <v/>
      </c>
      <c r="E843" s="4">
        <f>Raw_Data!E843</f>
        <v/>
      </c>
      <c r="F843" s="6">
        <f>ROUND(Raw_Data!F843,2)</f>
        <v/>
      </c>
      <c r="G843" s="4">
        <f>PROPER(TRIM(Raw_Data!G843))</f>
        <v/>
      </c>
      <c r="H843" s="4">
        <f>PROPER(TRIM(Raw_Data!H843))</f>
        <v/>
      </c>
      <c r="I843" s="4">
        <f>PROPER(TRIM(Raw_Data!I843))</f>
        <v/>
      </c>
      <c r="J843" s="4">
        <f>TRIM(Raw_Data!J843)</f>
        <v/>
      </c>
      <c r="K843" s="4">
        <f>Raw_Data!K843</f>
        <v/>
      </c>
      <c r="L843" s="4">
        <f>IF(TRIM(Raw_Data!L843)="","No Coupon",TRIM(Raw_Data!L843))</f>
        <v/>
      </c>
      <c r="M843" s="4">
        <f>PROPER(TRIM(Raw_Data!M843))</f>
        <v/>
      </c>
      <c r="N843" s="6">
        <f>ROUND(Raw_Data!N843,2)</f>
        <v/>
      </c>
      <c r="O843" s="7">
        <f>IF(COUNTIF($A$2:$A$1201,A843)&gt;1,"DUPLICATE","Unique")</f>
        <v/>
      </c>
      <c r="P843" s="7">
        <f>IF(COUNTIF($J$2:$J$1201,J843)&gt;1,"DUPLICATE","Unique")</f>
        <v/>
      </c>
      <c r="Q843" s="4">
        <f>IF(TRIM(Raw_Data!L843)="","Yes","No")</f>
        <v/>
      </c>
      <c r="R843" s="4">
        <f>IF(ISNUMBER(B843),"Valid","INVALID")</f>
        <v/>
      </c>
    </row>
    <row r="844">
      <c r="A844" s="4">
        <f>TRIM(Raw_Data!A844)</f>
        <v/>
      </c>
      <c r="B844" s="5">
        <f>Raw_Data!B844</f>
        <v/>
      </c>
      <c r="C844" s="4">
        <f>TRIM(Raw_Data!C844)</f>
        <v/>
      </c>
      <c r="D844" s="4">
        <f>PROPER(TRIM(Raw_Data!D844))</f>
        <v/>
      </c>
      <c r="E844" s="4">
        <f>Raw_Data!E844</f>
        <v/>
      </c>
      <c r="F844" s="6">
        <f>ROUND(Raw_Data!F844,2)</f>
        <v/>
      </c>
      <c r="G844" s="4">
        <f>PROPER(TRIM(Raw_Data!G844))</f>
        <v/>
      </c>
      <c r="H844" s="4">
        <f>PROPER(TRIM(Raw_Data!H844))</f>
        <v/>
      </c>
      <c r="I844" s="4">
        <f>PROPER(TRIM(Raw_Data!I844))</f>
        <v/>
      </c>
      <c r="J844" s="4">
        <f>TRIM(Raw_Data!J844)</f>
        <v/>
      </c>
      <c r="K844" s="4">
        <f>Raw_Data!K844</f>
        <v/>
      </c>
      <c r="L844" s="4">
        <f>IF(TRIM(Raw_Data!L844)="","No Coupon",TRIM(Raw_Data!L844))</f>
        <v/>
      </c>
      <c r="M844" s="4">
        <f>PROPER(TRIM(Raw_Data!M844))</f>
        <v/>
      </c>
      <c r="N844" s="6">
        <f>ROUND(Raw_Data!N844,2)</f>
        <v/>
      </c>
      <c r="O844" s="7">
        <f>IF(COUNTIF($A$2:$A$1201,A844)&gt;1,"DUPLICATE","Unique")</f>
        <v/>
      </c>
      <c r="P844" s="7">
        <f>IF(COUNTIF($J$2:$J$1201,J844)&gt;1,"DUPLICATE","Unique")</f>
        <v/>
      </c>
      <c r="Q844" s="4">
        <f>IF(TRIM(Raw_Data!L844)="","Yes","No")</f>
        <v/>
      </c>
      <c r="R844" s="4">
        <f>IF(ISNUMBER(B844),"Valid","INVALID")</f>
        <v/>
      </c>
    </row>
    <row r="845">
      <c r="A845" s="4">
        <f>TRIM(Raw_Data!A845)</f>
        <v/>
      </c>
      <c r="B845" s="5">
        <f>Raw_Data!B845</f>
        <v/>
      </c>
      <c r="C845" s="4">
        <f>TRIM(Raw_Data!C845)</f>
        <v/>
      </c>
      <c r="D845" s="4">
        <f>PROPER(TRIM(Raw_Data!D845))</f>
        <v/>
      </c>
      <c r="E845" s="4">
        <f>Raw_Data!E845</f>
        <v/>
      </c>
      <c r="F845" s="6">
        <f>ROUND(Raw_Data!F845,2)</f>
        <v/>
      </c>
      <c r="G845" s="4">
        <f>PROPER(TRIM(Raw_Data!G845))</f>
        <v/>
      </c>
      <c r="H845" s="4">
        <f>PROPER(TRIM(Raw_Data!H845))</f>
        <v/>
      </c>
      <c r="I845" s="4">
        <f>PROPER(TRIM(Raw_Data!I845))</f>
        <v/>
      </c>
      <c r="J845" s="4">
        <f>TRIM(Raw_Data!J845)</f>
        <v/>
      </c>
      <c r="K845" s="4">
        <f>Raw_Data!K845</f>
        <v/>
      </c>
      <c r="L845" s="4">
        <f>IF(TRIM(Raw_Data!L845)="","No Coupon",TRIM(Raw_Data!L845))</f>
        <v/>
      </c>
      <c r="M845" s="4">
        <f>PROPER(TRIM(Raw_Data!M845))</f>
        <v/>
      </c>
      <c r="N845" s="6">
        <f>ROUND(Raw_Data!N845,2)</f>
        <v/>
      </c>
      <c r="O845" s="7">
        <f>IF(COUNTIF($A$2:$A$1201,A845)&gt;1,"DUPLICATE","Unique")</f>
        <v/>
      </c>
      <c r="P845" s="7">
        <f>IF(COUNTIF($J$2:$J$1201,J845)&gt;1,"DUPLICATE","Unique")</f>
        <v/>
      </c>
      <c r="Q845" s="4">
        <f>IF(TRIM(Raw_Data!L845)="","Yes","No")</f>
        <v/>
      </c>
      <c r="R845" s="4">
        <f>IF(ISNUMBER(B845),"Valid","INVALID")</f>
        <v/>
      </c>
    </row>
    <row r="846">
      <c r="A846" s="4">
        <f>TRIM(Raw_Data!A846)</f>
        <v/>
      </c>
      <c r="B846" s="5">
        <f>Raw_Data!B846</f>
        <v/>
      </c>
      <c r="C846" s="4">
        <f>TRIM(Raw_Data!C846)</f>
        <v/>
      </c>
      <c r="D846" s="4">
        <f>PROPER(TRIM(Raw_Data!D846))</f>
        <v/>
      </c>
      <c r="E846" s="4">
        <f>Raw_Data!E846</f>
        <v/>
      </c>
      <c r="F846" s="6">
        <f>ROUND(Raw_Data!F846,2)</f>
        <v/>
      </c>
      <c r="G846" s="4">
        <f>PROPER(TRIM(Raw_Data!G846))</f>
        <v/>
      </c>
      <c r="H846" s="4">
        <f>PROPER(TRIM(Raw_Data!H846))</f>
        <v/>
      </c>
      <c r="I846" s="4">
        <f>PROPER(TRIM(Raw_Data!I846))</f>
        <v/>
      </c>
      <c r="J846" s="4">
        <f>TRIM(Raw_Data!J846)</f>
        <v/>
      </c>
      <c r="K846" s="4">
        <f>Raw_Data!K846</f>
        <v/>
      </c>
      <c r="L846" s="4">
        <f>IF(TRIM(Raw_Data!L846)="","No Coupon",TRIM(Raw_Data!L846))</f>
        <v/>
      </c>
      <c r="M846" s="4">
        <f>PROPER(TRIM(Raw_Data!M846))</f>
        <v/>
      </c>
      <c r="N846" s="6">
        <f>ROUND(Raw_Data!N846,2)</f>
        <v/>
      </c>
      <c r="O846" s="7">
        <f>IF(COUNTIF($A$2:$A$1201,A846)&gt;1,"DUPLICATE","Unique")</f>
        <v/>
      </c>
      <c r="P846" s="7">
        <f>IF(COUNTIF($J$2:$J$1201,J846)&gt;1,"DUPLICATE","Unique")</f>
        <v/>
      </c>
      <c r="Q846" s="4">
        <f>IF(TRIM(Raw_Data!L846)="","Yes","No")</f>
        <v/>
      </c>
      <c r="R846" s="4">
        <f>IF(ISNUMBER(B846),"Valid","INVALID")</f>
        <v/>
      </c>
    </row>
    <row r="847">
      <c r="A847" s="4">
        <f>TRIM(Raw_Data!A847)</f>
        <v/>
      </c>
      <c r="B847" s="5">
        <f>Raw_Data!B847</f>
        <v/>
      </c>
      <c r="C847" s="4">
        <f>TRIM(Raw_Data!C847)</f>
        <v/>
      </c>
      <c r="D847" s="4">
        <f>PROPER(TRIM(Raw_Data!D847))</f>
        <v/>
      </c>
      <c r="E847" s="4">
        <f>Raw_Data!E847</f>
        <v/>
      </c>
      <c r="F847" s="6">
        <f>ROUND(Raw_Data!F847,2)</f>
        <v/>
      </c>
      <c r="G847" s="4">
        <f>PROPER(TRIM(Raw_Data!G847))</f>
        <v/>
      </c>
      <c r="H847" s="4">
        <f>PROPER(TRIM(Raw_Data!H847))</f>
        <v/>
      </c>
      <c r="I847" s="4">
        <f>PROPER(TRIM(Raw_Data!I847))</f>
        <v/>
      </c>
      <c r="J847" s="4">
        <f>TRIM(Raw_Data!J847)</f>
        <v/>
      </c>
      <c r="K847" s="4">
        <f>Raw_Data!K847</f>
        <v/>
      </c>
      <c r="L847" s="4">
        <f>IF(TRIM(Raw_Data!L847)="","No Coupon",TRIM(Raw_Data!L847))</f>
        <v/>
      </c>
      <c r="M847" s="4">
        <f>PROPER(TRIM(Raw_Data!M847))</f>
        <v/>
      </c>
      <c r="N847" s="6">
        <f>ROUND(Raw_Data!N847,2)</f>
        <v/>
      </c>
      <c r="O847" s="7">
        <f>IF(COUNTIF($A$2:$A$1201,A847)&gt;1,"DUPLICATE","Unique")</f>
        <v/>
      </c>
      <c r="P847" s="7">
        <f>IF(COUNTIF($J$2:$J$1201,J847)&gt;1,"DUPLICATE","Unique")</f>
        <v/>
      </c>
      <c r="Q847" s="4">
        <f>IF(TRIM(Raw_Data!L847)="","Yes","No")</f>
        <v/>
      </c>
      <c r="R847" s="4">
        <f>IF(ISNUMBER(B847),"Valid","INVALID")</f>
        <v/>
      </c>
    </row>
    <row r="848">
      <c r="A848" s="4">
        <f>TRIM(Raw_Data!A848)</f>
        <v/>
      </c>
      <c r="B848" s="5">
        <f>Raw_Data!B848</f>
        <v/>
      </c>
      <c r="C848" s="4">
        <f>TRIM(Raw_Data!C848)</f>
        <v/>
      </c>
      <c r="D848" s="4">
        <f>PROPER(TRIM(Raw_Data!D848))</f>
        <v/>
      </c>
      <c r="E848" s="4">
        <f>Raw_Data!E848</f>
        <v/>
      </c>
      <c r="F848" s="6">
        <f>ROUND(Raw_Data!F848,2)</f>
        <v/>
      </c>
      <c r="G848" s="4">
        <f>PROPER(TRIM(Raw_Data!G848))</f>
        <v/>
      </c>
      <c r="H848" s="4">
        <f>PROPER(TRIM(Raw_Data!H848))</f>
        <v/>
      </c>
      <c r="I848" s="4">
        <f>PROPER(TRIM(Raw_Data!I848))</f>
        <v/>
      </c>
      <c r="J848" s="4">
        <f>TRIM(Raw_Data!J848)</f>
        <v/>
      </c>
      <c r="K848" s="4">
        <f>Raw_Data!K848</f>
        <v/>
      </c>
      <c r="L848" s="4">
        <f>IF(TRIM(Raw_Data!L848)="","No Coupon",TRIM(Raw_Data!L848))</f>
        <v/>
      </c>
      <c r="M848" s="4">
        <f>PROPER(TRIM(Raw_Data!M848))</f>
        <v/>
      </c>
      <c r="N848" s="6">
        <f>ROUND(Raw_Data!N848,2)</f>
        <v/>
      </c>
      <c r="O848" s="7">
        <f>IF(COUNTIF($A$2:$A$1201,A848)&gt;1,"DUPLICATE","Unique")</f>
        <v/>
      </c>
      <c r="P848" s="7">
        <f>IF(COUNTIF($J$2:$J$1201,J848)&gt;1,"DUPLICATE","Unique")</f>
        <v/>
      </c>
      <c r="Q848" s="4">
        <f>IF(TRIM(Raw_Data!L848)="","Yes","No")</f>
        <v/>
      </c>
      <c r="R848" s="4">
        <f>IF(ISNUMBER(B848),"Valid","INVALID")</f>
        <v/>
      </c>
    </row>
    <row r="849">
      <c r="A849" s="4">
        <f>TRIM(Raw_Data!A849)</f>
        <v/>
      </c>
      <c r="B849" s="5">
        <f>Raw_Data!B849</f>
        <v/>
      </c>
      <c r="C849" s="4">
        <f>TRIM(Raw_Data!C849)</f>
        <v/>
      </c>
      <c r="D849" s="4">
        <f>PROPER(TRIM(Raw_Data!D849))</f>
        <v/>
      </c>
      <c r="E849" s="4">
        <f>Raw_Data!E849</f>
        <v/>
      </c>
      <c r="F849" s="6">
        <f>ROUND(Raw_Data!F849,2)</f>
        <v/>
      </c>
      <c r="G849" s="4">
        <f>PROPER(TRIM(Raw_Data!G849))</f>
        <v/>
      </c>
      <c r="H849" s="4">
        <f>PROPER(TRIM(Raw_Data!H849))</f>
        <v/>
      </c>
      <c r="I849" s="4">
        <f>PROPER(TRIM(Raw_Data!I849))</f>
        <v/>
      </c>
      <c r="J849" s="4">
        <f>TRIM(Raw_Data!J849)</f>
        <v/>
      </c>
      <c r="K849" s="4">
        <f>Raw_Data!K849</f>
        <v/>
      </c>
      <c r="L849" s="4">
        <f>IF(TRIM(Raw_Data!L849)="","No Coupon",TRIM(Raw_Data!L849))</f>
        <v/>
      </c>
      <c r="M849" s="4">
        <f>PROPER(TRIM(Raw_Data!M849))</f>
        <v/>
      </c>
      <c r="N849" s="6">
        <f>ROUND(Raw_Data!N849,2)</f>
        <v/>
      </c>
      <c r="O849" s="7">
        <f>IF(COUNTIF($A$2:$A$1201,A849)&gt;1,"DUPLICATE","Unique")</f>
        <v/>
      </c>
      <c r="P849" s="7">
        <f>IF(COUNTIF($J$2:$J$1201,J849)&gt;1,"DUPLICATE","Unique")</f>
        <v/>
      </c>
      <c r="Q849" s="4">
        <f>IF(TRIM(Raw_Data!L849)="","Yes","No")</f>
        <v/>
      </c>
      <c r="R849" s="4">
        <f>IF(ISNUMBER(B849),"Valid","INVALID")</f>
        <v/>
      </c>
    </row>
    <row r="850">
      <c r="A850" s="4">
        <f>TRIM(Raw_Data!A850)</f>
        <v/>
      </c>
      <c r="B850" s="5">
        <f>Raw_Data!B850</f>
        <v/>
      </c>
      <c r="C850" s="4">
        <f>TRIM(Raw_Data!C850)</f>
        <v/>
      </c>
      <c r="D850" s="4">
        <f>PROPER(TRIM(Raw_Data!D850))</f>
        <v/>
      </c>
      <c r="E850" s="4">
        <f>Raw_Data!E850</f>
        <v/>
      </c>
      <c r="F850" s="6">
        <f>ROUND(Raw_Data!F850,2)</f>
        <v/>
      </c>
      <c r="G850" s="4">
        <f>PROPER(TRIM(Raw_Data!G850))</f>
        <v/>
      </c>
      <c r="H850" s="4">
        <f>PROPER(TRIM(Raw_Data!H850))</f>
        <v/>
      </c>
      <c r="I850" s="4">
        <f>PROPER(TRIM(Raw_Data!I850))</f>
        <v/>
      </c>
      <c r="J850" s="4">
        <f>TRIM(Raw_Data!J850)</f>
        <v/>
      </c>
      <c r="K850" s="4">
        <f>Raw_Data!K850</f>
        <v/>
      </c>
      <c r="L850" s="4">
        <f>IF(TRIM(Raw_Data!L850)="","No Coupon",TRIM(Raw_Data!L850))</f>
        <v/>
      </c>
      <c r="M850" s="4">
        <f>PROPER(TRIM(Raw_Data!M850))</f>
        <v/>
      </c>
      <c r="N850" s="6">
        <f>ROUND(Raw_Data!N850,2)</f>
        <v/>
      </c>
      <c r="O850" s="7">
        <f>IF(COUNTIF($A$2:$A$1201,A850)&gt;1,"DUPLICATE","Unique")</f>
        <v/>
      </c>
      <c r="P850" s="7">
        <f>IF(COUNTIF($J$2:$J$1201,J850)&gt;1,"DUPLICATE","Unique")</f>
        <v/>
      </c>
      <c r="Q850" s="4">
        <f>IF(TRIM(Raw_Data!L850)="","Yes","No")</f>
        <v/>
      </c>
      <c r="R850" s="4">
        <f>IF(ISNUMBER(B850),"Valid","INVALID")</f>
        <v/>
      </c>
    </row>
    <row r="851">
      <c r="A851" s="4">
        <f>TRIM(Raw_Data!A851)</f>
        <v/>
      </c>
      <c r="B851" s="5">
        <f>Raw_Data!B851</f>
        <v/>
      </c>
      <c r="C851" s="4">
        <f>TRIM(Raw_Data!C851)</f>
        <v/>
      </c>
      <c r="D851" s="4">
        <f>PROPER(TRIM(Raw_Data!D851))</f>
        <v/>
      </c>
      <c r="E851" s="4">
        <f>Raw_Data!E851</f>
        <v/>
      </c>
      <c r="F851" s="6">
        <f>ROUND(Raw_Data!F851,2)</f>
        <v/>
      </c>
      <c r="G851" s="4">
        <f>PROPER(TRIM(Raw_Data!G851))</f>
        <v/>
      </c>
      <c r="H851" s="4">
        <f>PROPER(TRIM(Raw_Data!H851))</f>
        <v/>
      </c>
      <c r="I851" s="4">
        <f>PROPER(TRIM(Raw_Data!I851))</f>
        <v/>
      </c>
      <c r="J851" s="4">
        <f>TRIM(Raw_Data!J851)</f>
        <v/>
      </c>
      <c r="K851" s="4">
        <f>Raw_Data!K851</f>
        <v/>
      </c>
      <c r="L851" s="4">
        <f>IF(TRIM(Raw_Data!L851)="","No Coupon",TRIM(Raw_Data!L851))</f>
        <v/>
      </c>
      <c r="M851" s="4">
        <f>PROPER(TRIM(Raw_Data!M851))</f>
        <v/>
      </c>
      <c r="N851" s="6">
        <f>ROUND(Raw_Data!N851,2)</f>
        <v/>
      </c>
      <c r="O851" s="7">
        <f>IF(COUNTIF($A$2:$A$1201,A851)&gt;1,"DUPLICATE","Unique")</f>
        <v/>
      </c>
      <c r="P851" s="7">
        <f>IF(COUNTIF($J$2:$J$1201,J851)&gt;1,"DUPLICATE","Unique")</f>
        <v/>
      </c>
      <c r="Q851" s="4">
        <f>IF(TRIM(Raw_Data!L851)="","Yes","No")</f>
        <v/>
      </c>
      <c r="R851" s="4">
        <f>IF(ISNUMBER(B851),"Valid","INVALID")</f>
        <v/>
      </c>
    </row>
    <row r="852">
      <c r="A852" s="4">
        <f>TRIM(Raw_Data!A852)</f>
        <v/>
      </c>
      <c r="B852" s="5">
        <f>Raw_Data!B852</f>
        <v/>
      </c>
      <c r="C852" s="4">
        <f>TRIM(Raw_Data!C852)</f>
        <v/>
      </c>
      <c r="D852" s="4">
        <f>PROPER(TRIM(Raw_Data!D852))</f>
        <v/>
      </c>
      <c r="E852" s="4">
        <f>Raw_Data!E852</f>
        <v/>
      </c>
      <c r="F852" s="6">
        <f>ROUND(Raw_Data!F852,2)</f>
        <v/>
      </c>
      <c r="G852" s="4">
        <f>PROPER(TRIM(Raw_Data!G852))</f>
        <v/>
      </c>
      <c r="H852" s="4">
        <f>PROPER(TRIM(Raw_Data!H852))</f>
        <v/>
      </c>
      <c r="I852" s="4">
        <f>PROPER(TRIM(Raw_Data!I852))</f>
        <v/>
      </c>
      <c r="J852" s="4">
        <f>TRIM(Raw_Data!J852)</f>
        <v/>
      </c>
      <c r="K852" s="4">
        <f>Raw_Data!K852</f>
        <v/>
      </c>
      <c r="L852" s="4">
        <f>IF(TRIM(Raw_Data!L852)="","No Coupon",TRIM(Raw_Data!L852))</f>
        <v/>
      </c>
      <c r="M852" s="4">
        <f>PROPER(TRIM(Raw_Data!M852))</f>
        <v/>
      </c>
      <c r="N852" s="6">
        <f>ROUND(Raw_Data!N852,2)</f>
        <v/>
      </c>
      <c r="O852" s="7">
        <f>IF(COUNTIF($A$2:$A$1201,A852)&gt;1,"DUPLICATE","Unique")</f>
        <v/>
      </c>
      <c r="P852" s="7">
        <f>IF(COUNTIF($J$2:$J$1201,J852)&gt;1,"DUPLICATE","Unique")</f>
        <v/>
      </c>
      <c r="Q852" s="4">
        <f>IF(TRIM(Raw_Data!L852)="","Yes","No")</f>
        <v/>
      </c>
      <c r="R852" s="4">
        <f>IF(ISNUMBER(B852),"Valid","INVALID")</f>
        <v/>
      </c>
    </row>
    <row r="853">
      <c r="A853" s="4">
        <f>TRIM(Raw_Data!A853)</f>
        <v/>
      </c>
      <c r="B853" s="5">
        <f>Raw_Data!B853</f>
        <v/>
      </c>
      <c r="C853" s="4">
        <f>TRIM(Raw_Data!C853)</f>
        <v/>
      </c>
      <c r="D853" s="4">
        <f>PROPER(TRIM(Raw_Data!D853))</f>
        <v/>
      </c>
      <c r="E853" s="4">
        <f>Raw_Data!E853</f>
        <v/>
      </c>
      <c r="F853" s="6">
        <f>ROUND(Raw_Data!F853,2)</f>
        <v/>
      </c>
      <c r="G853" s="4">
        <f>PROPER(TRIM(Raw_Data!G853))</f>
        <v/>
      </c>
      <c r="H853" s="4">
        <f>PROPER(TRIM(Raw_Data!H853))</f>
        <v/>
      </c>
      <c r="I853" s="4">
        <f>PROPER(TRIM(Raw_Data!I853))</f>
        <v/>
      </c>
      <c r="J853" s="4">
        <f>TRIM(Raw_Data!J853)</f>
        <v/>
      </c>
      <c r="K853" s="4">
        <f>Raw_Data!K853</f>
        <v/>
      </c>
      <c r="L853" s="4">
        <f>IF(TRIM(Raw_Data!L853)="","No Coupon",TRIM(Raw_Data!L853))</f>
        <v/>
      </c>
      <c r="M853" s="4">
        <f>PROPER(TRIM(Raw_Data!M853))</f>
        <v/>
      </c>
      <c r="N853" s="6">
        <f>ROUND(Raw_Data!N853,2)</f>
        <v/>
      </c>
      <c r="O853" s="7">
        <f>IF(COUNTIF($A$2:$A$1201,A853)&gt;1,"DUPLICATE","Unique")</f>
        <v/>
      </c>
      <c r="P853" s="7">
        <f>IF(COUNTIF($J$2:$J$1201,J853)&gt;1,"DUPLICATE","Unique")</f>
        <v/>
      </c>
      <c r="Q853" s="4">
        <f>IF(TRIM(Raw_Data!L853)="","Yes","No")</f>
        <v/>
      </c>
      <c r="R853" s="4">
        <f>IF(ISNUMBER(B853),"Valid","INVALID")</f>
        <v/>
      </c>
    </row>
    <row r="854">
      <c r="A854" s="4">
        <f>TRIM(Raw_Data!A854)</f>
        <v/>
      </c>
      <c r="B854" s="5">
        <f>Raw_Data!B854</f>
        <v/>
      </c>
      <c r="C854" s="4">
        <f>TRIM(Raw_Data!C854)</f>
        <v/>
      </c>
      <c r="D854" s="4">
        <f>PROPER(TRIM(Raw_Data!D854))</f>
        <v/>
      </c>
      <c r="E854" s="4">
        <f>Raw_Data!E854</f>
        <v/>
      </c>
      <c r="F854" s="6">
        <f>ROUND(Raw_Data!F854,2)</f>
        <v/>
      </c>
      <c r="G854" s="4">
        <f>PROPER(TRIM(Raw_Data!G854))</f>
        <v/>
      </c>
      <c r="H854" s="4">
        <f>PROPER(TRIM(Raw_Data!H854))</f>
        <v/>
      </c>
      <c r="I854" s="4">
        <f>PROPER(TRIM(Raw_Data!I854))</f>
        <v/>
      </c>
      <c r="J854" s="4">
        <f>TRIM(Raw_Data!J854)</f>
        <v/>
      </c>
      <c r="K854" s="4">
        <f>Raw_Data!K854</f>
        <v/>
      </c>
      <c r="L854" s="4">
        <f>IF(TRIM(Raw_Data!L854)="","No Coupon",TRIM(Raw_Data!L854))</f>
        <v/>
      </c>
      <c r="M854" s="4">
        <f>PROPER(TRIM(Raw_Data!M854))</f>
        <v/>
      </c>
      <c r="N854" s="6">
        <f>ROUND(Raw_Data!N854,2)</f>
        <v/>
      </c>
      <c r="O854" s="7">
        <f>IF(COUNTIF($A$2:$A$1201,A854)&gt;1,"DUPLICATE","Unique")</f>
        <v/>
      </c>
      <c r="P854" s="7">
        <f>IF(COUNTIF($J$2:$J$1201,J854)&gt;1,"DUPLICATE","Unique")</f>
        <v/>
      </c>
      <c r="Q854" s="4">
        <f>IF(TRIM(Raw_Data!L854)="","Yes","No")</f>
        <v/>
      </c>
      <c r="R854" s="4">
        <f>IF(ISNUMBER(B854),"Valid","INVALID")</f>
        <v/>
      </c>
    </row>
    <row r="855">
      <c r="A855" s="4">
        <f>TRIM(Raw_Data!A855)</f>
        <v/>
      </c>
      <c r="B855" s="5">
        <f>Raw_Data!B855</f>
        <v/>
      </c>
      <c r="C855" s="4">
        <f>TRIM(Raw_Data!C855)</f>
        <v/>
      </c>
      <c r="D855" s="4">
        <f>PROPER(TRIM(Raw_Data!D855))</f>
        <v/>
      </c>
      <c r="E855" s="4">
        <f>Raw_Data!E855</f>
        <v/>
      </c>
      <c r="F855" s="6">
        <f>ROUND(Raw_Data!F855,2)</f>
        <v/>
      </c>
      <c r="G855" s="4">
        <f>PROPER(TRIM(Raw_Data!G855))</f>
        <v/>
      </c>
      <c r="H855" s="4">
        <f>PROPER(TRIM(Raw_Data!H855))</f>
        <v/>
      </c>
      <c r="I855" s="4">
        <f>PROPER(TRIM(Raw_Data!I855))</f>
        <v/>
      </c>
      <c r="J855" s="4">
        <f>TRIM(Raw_Data!J855)</f>
        <v/>
      </c>
      <c r="K855" s="4">
        <f>Raw_Data!K855</f>
        <v/>
      </c>
      <c r="L855" s="4">
        <f>IF(TRIM(Raw_Data!L855)="","No Coupon",TRIM(Raw_Data!L855))</f>
        <v/>
      </c>
      <c r="M855" s="4">
        <f>PROPER(TRIM(Raw_Data!M855))</f>
        <v/>
      </c>
      <c r="N855" s="6">
        <f>ROUND(Raw_Data!N855,2)</f>
        <v/>
      </c>
      <c r="O855" s="7">
        <f>IF(COUNTIF($A$2:$A$1201,A855)&gt;1,"DUPLICATE","Unique")</f>
        <v/>
      </c>
      <c r="P855" s="7">
        <f>IF(COUNTIF($J$2:$J$1201,J855)&gt;1,"DUPLICATE","Unique")</f>
        <v/>
      </c>
      <c r="Q855" s="4">
        <f>IF(TRIM(Raw_Data!L855)="","Yes","No")</f>
        <v/>
      </c>
      <c r="R855" s="4">
        <f>IF(ISNUMBER(B855),"Valid","INVALID")</f>
        <v/>
      </c>
    </row>
    <row r="856">
      <c r="A856" s="4">
        <f>TRIM(Raw_Data!A856)</f>
        <v/>
      </c>
      <c r="B856" s="5">
        <f>Raw_Data!B856</f>
        <v/>
      </c>
      <c r="C856" s="4">
        <f>TRIM(Raw_Data!C856)</f>
        <v/>
      </c>
      <c r="D856" s="4">
        <f>PROPER(TRIM(Raw_Data!D856))</f>
        <v/>
      </c>
      <c r="E856" s="4">
        <f>Raw_Data!E856</f>
        <v/>
      </c>
      <c r="F856" s="6">
        <f>ROUND(Raw_Data!F856,2)</f>
        <v/>
      </c>
      <c r="G856" s="4">
        <f>PROPER(TRIM(Raw_Data!G856))</f>
        <v/>
      </c>
      <c r="H856" s="4">
        <f>PROPER(TRIM(Raw_Data!H856))</f>
        <v/>
      </c>
      <c r="I856" s="4">
        <f>PROPER(TRIM(Raw_Data!I856))</f>
        <v/>
      </c>
      <c r="J856" s="4">
        <f>TRIM(Raw_Data!J856)</f>
        <v/>
      </c>
      <c r="K856" s="4">
        <f>Raw_Data!K856</f>
        <v/>
      </c>
      <c r="L856" s="4">
        <f>IF(TRIM(Raw_Data!L856)="","No Coupon",TRIM(Raw_Data!L856))</f>
        <v/>
      </c>
      <c r="M856" s="4">
        <f>PROPER(TRIM(Raw_Data!M856))</f>
        <v/>
      </c>
      <c r="N856" s="6">
        <f>ROUND(Raw_Data!N856,2)</f>
        <v/>
      </c>
      <c r="O856" s="7">
        <f>IF(COUNTIF($A$2:$A$1201,A856)&gt;1,"DUPLICATE","Unique")</f>
        <v/>
      </c>
      <c r="P856" s="7">
        <f>IF(COUNTIF($J$2:$J$1201,J856)&gt;1,"DUPLICATE","Unique")</f>
        <v/>
      </c>
      <c r="Q856" s="4">
        <f>IF(TRIM(Raw_Data!L856)="","Yes","No")</f>
        <v/>
      </c>
      <c r="R856" s="4">
        <f>IF(ISNUMBER(B856),"Valid","INVALID")</f>
        <v/>
      </c>
    </row>
    <row r="857">
      <c r="A857" s="4">
        <f>TRIM(Raw_Data!A857)</f>
        <v/>
      </c>
      <c r="B857" s="5">
        <f>Raw_Data!B857</f>
        <v/>
      </c>
      <c r="C857" s="4">
        <f>TRIM(Raw_Data!C857)</f>
        <v/>
      </c>
      <c r="D857" s="4">
        <f>PROPER(TRIM(Raw_Data!D857))</f>
        <v/>
      </c>
      <c r="E857" s="4">
        <f>Raw_Data!E857</f>
        <v/>
      </c>
      <c r="F857" s="6">
        <f>ROUND(Raw_Data!F857,2)</f>
        <v/>
      </c>
      <c r="G857" s="4">
        <f>PROPER(TRIM(Raw_Data!G857))</f>
        <v/>
      </c>
      <c r="H857" s="4">
        <f>PROPER(TRIM(Raw_Data!H857))</f>
        <v/>
      </c>
      <c r="I857" s="4">
        <f>PROPER(TRIM(Raw_Data!I857))</f>
        <v/>
      </c>
      <c r="J857" s="4">
        <f>TRIM(Raw_Data!J857)</f>
        <v/>
      </c>
      <c r="K857" s="4">
        <f>Raw_Data!K857</f>
        <v/>
      </c>
      <c r="L857" s="4">
        <f>IF(TRIM(Raw_Data!L857)="","No Coupon",TRIM(Raw_Data!L857))</f>
        <v/>
      </c>
      <c r="M857" s="4">
        <f>PROPER(TRIM(Raw_Data!M857))</f>
        <v/>
      </c>
      <c r="N857" s="6">
        <f>ROUND(Raw_Data!N857,2)</f>
        <v/>
      </c>
      <c r="O857" s="7">
        <f>IF(COUNTIF($A$2:$A$1201,A857)&gt;1,"DUPLICATE","Unique")</f>
        <v/>
      </c>
      <c r="P857" s="7">
        <f>IF(COUNTIF($J$2:$J$1201,J857)&gt;1,"DUPLICATE","Unique")</f>
        <v/>
      </c>
      <c r="Q857" s="4">
        <f>IF(TRIM(Raw_Data!L857)="","Yes","No")</f>
        <v/>
      </c>
      <c r="R857" s="4">
        <f>IF(ISNUMBER(B857),"Valid","INVALID")</f>
        <v/>
      </c>
    </row>
    <row r="858">
      <c r="A858" s="4">
        <f>TRIM(Raw_Data!A858)</f>
        <v/>
      </c>
      <c r="B858" s="5">
        <f>Raw_Data!B858</f>
        <v/>
      </c>
      <c r="C858" s="4">
        <f>TRIM(Raw_Data!C858)</f>
        <v/>
      </c>
      <c r="D858" s="4">
        <f>PROPER(TRIM(Raw_Data!D858))</f>
        <v/>
      </c>
      <c r="E858" s="4">
        <f>Raw_Data!E858</f>
        <v/>
      </c>
      <c r="F858" s="6">
        <f>ROUND(Raw_Data!F858,2)</f>
        <v/>
      </c>
      <c r="G858" s="4">
        <f>PROPER(TRIM(Raw_Data!G858))</f>
        <v/>
      </c>
      <c r="H858" s="4">
        <f>PROPER(TRIM(Raw_Data!H858))</f>
        <v/>
      </c>
      <c r="I858" s="4">
        <f>PROPER(TRIM(Raw_Data!I858))</f>
        <v/>
      </c>
      <c r="J858" s="4">
        <f>TRIM(Raw_Data!J858)</f>
        <v/>
      </c>
      <c r="K858" s="4">
        <f>Raw_Data!K858</f>
        <v/>
      </c>
      <c r="L858" s="4">
        <f>IF(TRIM(Raw_Data!L858)="","No Coupon",TRIM(Raw_Data!L858))</f>
        <v/>
      </c>
      <c r="M858" s="4">
        <f>PROPER(TRIM(Raw_Data!M858))</f>
        <v/>
      </c>
      <c r="N858" s="6">
        <f>ROUND(Raw_Data!N858,2)</f>
        <v/>
      </c>
      <c r="O858" s="7">
        <f>IF(COUNTIF($A$2:$A$1201,A858)&gt;1,"DUPLICATE","Unique")</f>
        <v/>
      </c>
      <c r="P858" s="7">
        <f>IF(COUNTIF($J$2:$J$1201,J858)&gt;1,"DUPLICATE","Unique")</f>
        <v/>
      </c>
      <c r="Q858" s="4">
        <f>IF(TRIM(Raw_Data!L858)="","Yes","No")</f>
        <v/>
      </c>
      <c r="R858" s="4">
        <f>IF(ISNUMBER(B858),"Valid","INVALID")</f>
        <v/>
      </c>
    </row>
    <row r="859">
      <c r="A859" s="4">
        <f>TRIM(Raw_Data!A859)</f>
        <v/>
      </c>
      <c r="B859" s="5">
        <f>Raw_Data!B859</f>
        <v/>
      </c>
      <c r="C859" s="4">
        <f>TRIM(Raw_Data!C859)</f>
        <v/>
      </c>
      <c r="D859" s="4">
        <f>PROPER(TRIM(Raw_Data!D859))</f>
        <v/>
      </c>
      <c r="E859" s="4">
        <f>Raw_Data!E859</f>
        <v/>
      </c>
      <c r="F859" s="6">
        <f>ROUND(Raw_Data!F859,2)</f>
        <v/>
      </c>
      <c r="G859" s="4">
        <f>PROPER(TRIM(Raw_Data!G859))</f>
        <v/>
      </c>
      <c r="H859" s="4">
        <f>PROPER(TRIM(Raw_Data!H859))</f>
        <v/>
      </c>
      <c r="I859" s="4">
        <f>PROPER(TRIM(Raw_Data!I859))</f>
        <v/>
      </c>
      <c r="J859" s="4">
        <f>TRIM(Raw_Data!J859)</f>
        <v/>
      </c>
      <c r="K859" s="4">
        <f>Raw_Data!K859</f>
        <v/>
      </c>
      <c r="L859" s="4">
        <f>IF(TRIM(Raw_Data!L859)="","No Coupon",TRIM(Raw_Data!L859))</f>
        <v/>
      </c>
      <c r="M859" s="4">
        <f>PROPER(TRIM(Raw_Data!M859))</f>
        <v/>
      </c>
      <c r="N859" s="6">
        <f>ROUND(Raw_Data!N859,2)</f>
        <v/>
      </c>
      <c r="O859" s="7">
        <f>IF(COUNTIF($A$2:$A$1201,A859)&gt;1,"DUPLICATE","Unique")</f>
        <v/>
      </c>
      <c r="P859" s="7">
        <f>IF(COUNTIF($J$2:$J$1201,J859)&gt;1,"DUPLICATE","Unique")</f>
        <v/>
      </c>
      <c r="Q859" s="4">
        <f>IF(TRIM(Raw_Data!L859)="","Yes","No")</f>
        <v/>
      </c>
      <c r="R859" s="4">
        <f>IF(ISNUMBER(B859),"Valid","INVALID")</f>
        <v/>
      </c>
    </row>
    <row r="860">
      <c r="A860" s="4">
        <f>TRIM(Raw_Data!A860)</f>
        <v/>
      </c>
      <c r="B860" s="5">
        <f>Raw_Data!B860</f>
        <v/>
      </c>
      <c r="C860" s="4">
        <f>TRIM(Raw_Data!C860)</f>
        <v/>
      </c>
      <c r="D860" s="4">
        <f>PROPER(TRIM(Raw_Data!D860))</f>
        <v/>
      </c>
      <c r="E860" s="4">
        <f>Raw_Data!E860</f>
        <v/>
      </c>
      <c r="F860" s="6">
        <f>ROUND(Raw_Data!F860,2)</f>
        <v/>
      </c>
      <c r="G860" s="4">
        <f>PROPER(TRIM(Raw_Data!G860))</f>
        <v/>
      </c>
      <c r="H860" s="4">
        <f>PROPER(TRIM(Raw_Data!H860))</f>
        <v/>
      </c>
      <c r="I860" s="4">
        <f>PROPER(TRIM(Raw_Data!I860))</f>
        <v/>
      </c>
      <c r="J860" s="4">
        <f>TRIM(Raw_Data!J860)</f>
        <v/>
      </c>
      <c r="K860" s="4">
        <f>Raw_Data!K860</f>
        <v/>
      </c>
      <c r="L860" s="4">
        <f>IF(TRIM(Raw_Data!L860)="","No Coupon",TRIM(Raw_Data!L860))</f>
        <v/>
      </c>
      <c r="M860" s="4">
        <f>PROPER(TRIM(Raw_Data!M860))</f>
        <v/>
      </c>
      <c r="N860" s="6">
        <f>ROUND(Raw_Data!N860,2)</f>
        <v/>
      </c>
      <c r="O860" s="7">
        <f>IF(COUNTIF($A$2:$A$1201,A860)&gt;1,"DUPLICATE","Unique")</f>
        <v/>
      </c>
      <c r="P860" s="7">
        <f>IF(COUNTIF($J$2:$J$1201,J860)&gt;1,"DUPLICATE","Unique")</f>
        <v/>
      </c>
      <c r="Q860" s="4">
        <f>IF(TRIM(Raw_Data!L860)="","Yes","No")</f>
        <v/>
      </c>
      <c r="R860" s="4">
        <f>IF(ISNUMBER(B860),"Valid","INVALID")</f>
        <v/>
      </c>
    </row>
    <row r="861">
      <c r="A861" s="4">
        <f>TRIM(Raw_Data!A861)</f>
        <v/>
      </c>
      <c r="B861" s="5">
        <f>Raw_Data!B861</f>
        <v/>
      </c>
      <c r="C861" s="4">
        <f>TRIM(Raw_Data!C861)</f>
        <v/>
      </c>
      <c r="D861" s="4">
        <f>PROPER(TRIM(Raw_Data!D861))</f>
        <v/>
      </c>
      <c r="E861" s="4">
        <f>Raw_Data!E861</f>
        <v/>
      </c>
      <c r="F861" s="6">
        <f>ROUND(Raw_Data!F861,2)</f>
        <v/>
      </c>
      <c r="G861" s="4">
        <f>PROPER(TRIM(Raw_Data!G861))</f>
        <v/>
      </c>
      <c r="H861" s="4">
        <f>PROPER(TRIM(Raw_Data!H861))</f>
        <v/>
      </c>
      <c r="I861" s="4">
        <f>PROPER(TRIM(Raw_Data!I861))</f>
        <v/>
      </c>
      <c r="J861" s="4">
        <f>TRIM(Raw_Data!J861)</f>
        <v/>
      </c>
      <c r="K861" s="4">
        <f>Raw_Data!K861</f>
        <v/>
      </c>
      <c r="L861" s="4">
        <f>IF(TRIM(Raw_Data!L861)="","No Coupon",TRIM(Raw_Data!L861))</f>
        <v/>
      </c>
      <c r="M861" s="4">
        <f>PROPER(TRIM(Raw_Data!M861))</f>
        <v/>
      </c>
      <c r="N861" s="6">
        <f>ROUND(Raw_Data!N861,2)</f>
        <v/>
      </c>
      <c r="O861" s="7">
        <f>IF(COUNTIF($A$2:$A$1201,A861)&gt;1,"DUPLICATE","Unique")</f>
        <v/>
      </c>
      <c r="P861" s="7">
        <f>IF(COUNTIF($J$2:$J$1201,J861)&gt;1,"DUPLICATE","Unique")</f>
        <v/>
      </c>
      <c r="Q861" s="4">
        <f>IF(TRIM(Raw_Data!L861)="","Yes","No")</f>
        <v/>
      </c>
      <c r="R861" s="4">
        <f>IF(ISNUMBER(B861),"Valid","INVALID")</f>
        <v/>
      </c>
    </row>
    <row r="862">
      <c r="A862" s="4">
        <f>TRIM(Raw_Data!A862)</f>
        <v/>
      </c>
      <c r="B862" s="5">
        <f>Raw_Data!B862</f>
        <v/>
      </c>
      <c r="C862" s="4">
        <f>TRIM(Raw_Data!C862)</f>
        <v/>
      </c>
      <c r="D862" s="4">
        <f>PROPER(TRIM(Raw_Data!D862))</f>
        <v/>
      </c>
      <c r="E862" s="4">
        <f>Raw_Data!E862</f>
        <v/>
      </c>
      <c r="F862" s="6">
        <f>ROUND(Raw_Data!F862,2)</f>
        <v/>
      </c>
      <c r="G862" s="4">
        <f>PROPER(TRIM(Raw_Data!G862))</f>
        <v/>
      </c>
      <c r="H862" s="4">
        <f>PROPER(TRIM(Raw_Data!H862))</f>
        <v/>
      </c>
      <c r="I862" s="4">
        <f>PROPER(TRIM(Raw_Data!I862))</f>
        <v/>
      </c>
      <c r="J862" s="4">
        <f>TRIM(Raw_Data!J862)</f>
        <v/>
      </c>
      <c r="K862" s="4">
        <f>Raw_Data!K862</f>
        <v/>
      </c>
      <c r="L862" s="4">
        <f>IF(TRIM(Raw_Data!L862)="","No Coupon",TRIM(Raw_Data!L862))</f>
        <v/>
      </c>
      <c r="M862" s="4">
        <f>PROPER(TRIM(Raw_Data!M862))</f>
        <v/>
      </c>
      <c r="N862" s="6">
        <f>ROUND(Raw_Data!N862,2)</f>
        <v/>
      </c>
      <c r="O862" s="7">
        <f>IF(COUNTIF($A$2:$A$1201,A862)&gt;1,"DUPLICATE","Unique")</f>
        <v/>
      </c>
      <c r="P862" s="7">
        <f>IF(COUNTIF($J$2:$J$1201,J862)&gt;1,"DUPLICATE","Unique")</f>
        <v/>
      </c>
      <c r="Q862" s="4">
        <f>IF(TRIM(Raw_Data!L862)="","Yes","No")</f>
        <v/>
      </c>
      <c r="R862" s="4">
        <f>IF(ISNUMBER(B862),"Valid","INVALID")</f>
        <v/>
      </c>
    </row>
    <row r="863">
      <c r="A863" s="4">
        <f>TRIM(Raw_Data!A863)</f>
        <v/>
      </c>
      <c r="B863" s="5">
        <f>Raw_Data!B863</f>
        <v/>
      </c>
      <c r="C863" s="4">
        <f>TRIM(Raw_Data!C863)</f>
        <v/>
      </c>
      <c r="D863" s="4">
        <f>PROPER(TRIM(Raw_Data!D863))</f>
        <v/>
      </c>
      <c r="E863" s="4">
        <f>Raw_Data!E863</f>
        <v/>
      </c>
      <c r="F863" s="6">
        <f>ROUND(Raw_Data!F863,2)</f>
        <v/>
      </c>
      <c r="G863" s="4">
        <f>PROPER(TRIM(Raw_Data!G863))</f>
        <v/>
      </c>
      <c r="H863" s="4">
        <f>PROPER(TRIM(Raw_Data!H863))</f>
        <v/>
      </c>
      <c r="I863" s="4">
        <f>PROPER(TRIM(Raw_Data!I863))</f>
        <v/>
      </c>
      <c r="J863" s="4">
        <f>TRIM(Raw_Data!J863)</f>
        <v/>
      </c>
      <c r="K863" s="4">
        <f>Raw_Data!K863</f>
        <v/>
      </c>
      <c r="L863" s="4">
        <f>IF(TRIM(Raw_Data!L863)="","No Coupon",TRIM(Raw_Data!L863))</f>
        <v/>
      </c>
      <c r="M863" s="4">
        <f>PROPER(TRIM(Raw_Data!M863))</f>
        <v/>
      </c>
      <c r="N863" s="6">
        <f>ROUND(Raw_Data!N863,2)</f>
        <v/>
      </c>
      <c r="O863" s="7">
        <f>IF(COUNTIF($A$2:$A$1201,A863)&gt;1,"DUPLICATE","Unique")</f>
        <v/>
      </c>
      <c r="P863" s="7">
        <f>IF(COUNTIF($J$2:$J$1201,J863)&gt;1,"DUPLICATE","Unique")</f>
        <v/>
      </c>
      <c r="Q863" s="4">
        <f>IF(TRIM(Raw_Data!L863)="","Yes","No")</f>
        <v/>
      </c>
      <c r="R863" s="4">
        <f>IF(ISNUMBER(B863),"Valid","INVALID")</f>
        <v/>
      </c>
    </row>
    <row r="864">
      <c r="A864" s="4">
        <f>TRIM(Raw_Data!A864)</f>
        <v/>
      </c>
      <c r="B864" s="5">
        <f>Raw_Data!B864</f>
        <v/>
      </c>
      <c r="C864" s="4">
        <f>TRIM(Raw_Data!C864)</f>
        <v/>
      </c>
      <c r="D864" s="4">
        <f>PROPER(TRIM(Raw_Data!D864))</f>
        <v/>
      </c>
      <c r="E864" s="4">
        <f>Raw_Data!E864</f>
        <v/>
      </c>
      <c r="F864" s="6">
        <f>ROUND(Raw_Data!F864,2)</f>
        <v/>
      </c>
      <c r="G864" s="4">
        <f>PROPER(TRIM(Raw_Data!G864))</f>
        <v/>
      </c>
      <c r="H864" s="4">
        <f>PROPER(TRIM(Raw_Data!H864))</f>
        <v/>
      </c>
      <c r="I864" s="4">
        <f>PROPER(TRIM(Raw_Data!I864))</f>
        <v/>
      </c>
      <c r="J864" s="4">
        <f>TRIM(Raw_Data!J864)</f>
        <v/>
      </c>
      <c r="K864" s="4">
        <f>Raw_Data!K864</f>
        <v/>
      </c>
      <c r="L864" s="4">
        <f>IF(TRIM(Raw_Data!L864)="","No Coupon",TRIM(Raw_Data!L864))</f>
        <v/>
      </c>
      <c r="M864" s="4">
        <f>PROPER(TRIM(Raw_Data!M864))</f>
        <v/>
      </c>
      <c r="N864" s="6">
        <f>ROUND(Raw_Data!N864,2)</f>
        <v/>
      </c>
      <c r="O864" s="7">
        <f>IF(COUNTIF($A$2:$A$1201,A864)&gt;1,"DUPLICATE","Unique")</f>
        <v/>
      </c>
      <c r="P864" s="7">
        <f>IF(COUNTIF($J$2:$J$1201,J864)&gt;1,"DUPLICATE","Unique")</f>
        <v/>
      </c>
      <c r="Q864" s="4">
        <f>IF(TRIM(Raw_Data!L864)="","Yes","No")</f>
        <v/>
      </c>
      <c r="R864" s="4">
        <f>IF(ISNUMBER(B864),"Valid","INVALID")</f>
        <v/>
      </c>
    </row>
    <row r="865">
      <c r="A865" s="4">
        <f>TRIM(Raw_Data!A865)</f>
        <v/>
      </c>
      <c r="B865" s="5">
        <f>Raw_Data!B865</f>
        <v/>
      </c>
      <c r="C865" s="4">
        <f>TRIM(Raw_Data!C865)</f>
        <v/>
      </c>
      <c r="D865" s="4">
        <f>PROPER(TRIM(Raw_Data!D865))</f>
        <v/>
      </c>
      <c r="E865" s="4">
        <f>Raw_Data!E865</f>
        <v/>
      </c>
      <c r="F865" s="6">
        <f>ROUND(Raw_Data!F865,2)</f>
        <v/>
      </c>
      <c r="G865" s="4">
        <f>PROPER(TRIM(Raw_Data!G865))</f>
        <v/>
      </c>
      <c r="H865" s="4">
        <f>PROPER(TRIM(Raw_Data!H865))</f>
        <v/>
      </c>
      <c r="I865" s="4">
        <f>PROPER(TRIM(Raw_Data!I865))</f>
        <v/>
      </c>
      <c r="J865" s="4">
        <f>TRIM(Raw_Data!J865)</f>
        <v/>
      </c>
      <c r="K865" s="4">
        <f>Raw_Data!K865</f>
        <v/>
      </c>
      <c r="L865" s="4">
        <f>IF(TRIM(Raw_Data!L865)="","No Coupon",TRIM(Raw_Data!L865))</f>
        <v/>
      </c>
      <c r="M865" s="4">
        <f>PROPER(TRIM(Raw_Data!M865))</f>
        <v/>
      </c>
      <c r="N865" s="6">
        <f>ROUND(Raw_Data!N865,2)</f>
        <v/>
      </c>
      <c r="O865" s="7">
        <f>IF(COUNTIF($A$2:$A$1201,A865)&gt;1,"DUPLICATE","Unique")</f>
        <v/>
      </c>
      <c r="P865" s="7">
        <f>IF(COUNTIF($J$2:$J$1201,J865)&gt;1,"DUPLICATE","Unique")</f>
        <v/>
      </c>
      <c r="Q865" s="4">
        <f>IF(TRIM(Raw_Data!L865)="","Yes","No")</f>
        <v/>
      </c>
      <c r="R865" s="4">
        <f>IF(ISNUMBER(B865),"Valid","INVALID")</f>
        <v/>
      </c>
    </row>
    <row r="866">
      <c r="A866" s="4">
        <f>TRIM(Raw_Data!A866)</f>
        <v/>
      </c>
      <c r="B866" s="5">
        <f>Raw_Data!B866</f>
        <v/>
      </c>
      <c r="C866" s="4">
        <f>TRIM(Raw_Data!C866)</f>
        <v/>
      </c>
      <c r="D866" s="4">
        <f>PROPER(TRIM(Raw_Data!D866))</f>
        <v/>
      </c>
      <c r="E866" s="4">
        <f>Raw_Data!E866</f>
        <v/>
      </c>
      <c r="F866" s="6">
        <f>ROUND(Raw_Data!F866,2)</f>
        <v/>
      </c>
      <c r="G866" s="4">
        <f>PROPER(TRIM(Raw_Data!G866))</f>
        <v/>
      </c>
      <c r="H866" s="4">
        <f>PROPER(TRIM(Raw_Data!H866))</f>
        <v/>
      </c>
      <c r="I866" s="4">
        <f>PROPER(TRIM(Raw_Data!I866))</f>
        <v/>
      </c>
      <c r="J866" s="4">
        <f>TRIM(Raw_Data!J866)</f>
        <v/>
      </c>
      <c r="K866" s="4">
        <f>Raw_Data!K866</f>
        <v/>
      </c>
      <c r="L866" s="4">
        <f>IF(TRIM(Raw_Data!L866)="","No Coupon",TRIM(Raw_Data!L866))</f>
        <v/>
      </c>
      <c r="M866" s="4">
        <f>PROPER(TRIM(Raw_Data!M866))</f>
        <v/>
      </c>
      <c r="N866" s="6">
        <f>ROUND(Raw_Data!N866,2)</f>
        <v/>
      </c>
      <c r="O866" s="7">
        <f>IF(COUNTIF($A$2:$A$1201,A866)&gt;1,"DUPLICATE","Unique")</f>
        <v/>
      </c>
      <c r="P866" s="7">
        <f>IF(COUNTIF($J$2:$J$1201,J866)&gt;1,"DUPLICATE","Unique")</f>
        <v/>
      </c>
      <c r="Q866" s="4">
        <f>IF(TRIM(Raw_Data!L866)="","Yes","No")</f>
        <v/>
      </c>
      <c r="R866" s="4">
        <f>IF(ISNUMBER(B866),"Valid","INVALID")</f>
        <v/>
      </c>
    </row>
    <row r="867">
      <c r="A867" s="4">
        <f>TRIM(Raw_Data!A867)</f>
        <v/>
      </c>
      <c r="B867" s="5">
        <f>Raw_Data!B867</f>
        <v/>
      </c>
      <c r="C867" s="4">
        <f>TRIM(Raw_Data!C867)</f>
        <v/>
      </c>
      <c r="D867" s="4">
        <f>PROPER(TRIM(Raw_Data!D867))</f>
        <v/>
      </c>
      <c r="E867" s="4">
        <f>Raw_Data!E867</f>
        <v/>
      </c>
      <c r="F867" s="6">
        <f>ROUND(Raw_Data!F867,2)</f>
        <v/>
      </c>
      <c r="G867" s="4">
        <f>PROPER(TRIM(Raw_Data!G867))</f>
        <v/>
      </c>
      <c r="H867" s="4">
        <f>PROPER(TRIM(Raw_Data!H867))</f>
        <v/>
      </c>
      <c r="I867" s="4">
        <f>PROPER(TRIM(Raw_Data!I867))</f>
        <v/>
      </c>
      <c r="J867" s="4">
        <f>TRIM(Raw_Data!J867)</f>
        <v/>
      </c>
      <c r="K867" s="4">
        <f>Raw_Data!K867</f>
        <v/>
      </c>
      <c r="L867" s="4">
        <f>IF(TRIM(Raw_Data!L867)="","No Coupon",TRIM(Raw_Data!L867))</f>
        <v/>
      </c>
      <c r="M867" s="4">
        <f>PROPER(TRIM(Raw_Data!M867))</f>
        <v/>
      </c>
      <c r="N867" s="6">
        <f>ROUND(Raw_Data!N867,2)</f>
        <v/>
      </c>
      <c r="O867" s="7">
        <f>IF(COUNTIF($A$2:$A$1201,A867)&gt;1,"DUPLICATE","Unique")</f>
        <v/>
      </c>
      <c r="P867" s="7">
        <f>IF(COUNTIF($J$2:$J$1201,J867)&gt;1,"DUPLICATE","Unique")</f>
        <v/>
      </c>
      <c r="Q867" s="4">
        <f>IF(TRIM(Raw_Data!L867)="","Yes","No")</f>
        <v/>
      </c>
      <c r="R867" s="4">
        <f>IF(ISNUMBER(B867),"Valid","INVALID")</f>
        <v/>
      </c>
    </row>
    <row r="868">
      <c r="A868" s="4">
        <f>TRIM(Raw_Data!A868)</f>
        <v/>
      </c>
      <c r="B868" s="5">
        <f>Raw_Data!B868</f>
        <v/>
      </c>
      <c r="C868" s="4">
        <f>TRIM(Raw_Data!C868)</f>
        <v/>
      </c>
      <c r="D868" s="4">
        <f>PROPER(TRIM(Raw_Data!D868))</f>
        <v/>
      </c>
      <c r="E868" s="4">
        <f>Raw_Data!E868</f>
        <v/>
      </c>
      <c r="F868" s="6">
        <f>ROUND(Raw_Data!F868,2)</f>
        <v/>
      </c>
      <c r="G868" s="4">
        <f>PROPER(TRIM(Raw_Data!G868))</f>
        <v/>
      </c>
      <c r="H868" s="4">
        <f>PROPER(TRIM(Raw_Data!H868))</f>
        <v/>
      </c>
      <c r="I868" s="4">
        <f>PROPER(TRIM(Raw_Data!I868))</f>
        <v/>
      </c>
      <c r="J868" s="4">
        <f>TRIM(Raw_Data!J868)</f>
        <v/>
      </c>
      <c r="K868" s="4">
        <f>Raw_Data!K868</f>
        <v/>
      </c>
      <c r="L868" s="4">
        <f>IF(TRIM(Raw_Data!L868)="","No Coupon",TRIM(Raw_Data!L868))</f>
        <v/>
      </c>
      <c r="M868" s="4">
        <f>PROPER(TRIM(Raw_Data!M868))</f>
        <v/>
      </c>
      <c r="N868" s="6">
        <f>ROUND(Raw_Data!N868,2)</f>
        <v/>
      </c>
      <c r="O868" s="7">
        <f>IF(COUNTIF($A$2:$A$1201,A868)&gt;1,"DUPLICATE","Unique")</f>
        <v/>
      </c>
      <c r="P868" s="7">
        <f>IF(COUNTIF($J$2:$J$1201,J868)&gt;1,"DUPLICATE","Unique")</f>
        <v/>
      </c>
      <c r="Q868" s="4">
        <f>IF(TRIM(Raw_Data!L868)="","Yes","No")</f>
        <v/>
      </c>
      <c r="R868" s="4">
        <f>IF(ISNUMBER(B868),"Valid","INVALID")</f>
        <v/>
      </c>
    </row>
    <row r="869">
      <c r="A869" s="4">
        <f>TRIM(Raw_Data!A869)</f>
        <v/>
      </c>
      <c r="B869" s="5">
        <f>Raw_Data!B869</f>
        <v/>
      </c>
      <c r="C869" s="4">
        <f>TRIM(Raw_Data!C869)</f>
        <v/>
      </c>
      <c r="D869" s="4">
        <f>PROPER(TRIM(Raw_Data!D869))</f>
        <v/>
      </c>
      <c r="E869" s="4">
        <f>Raw_Data!E869</f>
        <v/>
      </c>
      <c r="F869" s="6">
        <f>ROUND(Raw_Data!F869,2)</f>
        <v/>
      </c>
      <c r="G869" s="4">
        <f>PROPER(TRIM(Raw_Data!G869))</f>
        <v/>
      </c>
      <c r="H869" s="4">
        <f>PROPER(TRIM(Raw_Data!H869))</f>
        <v/>
      </c>
      <c r="I869" s="4">
        <f>PROPER(TRIM(Raw_Data!I869))</f>
        <v/>
      </c>
      <c r="J869" s="4">
        <f>TRIM(Raw_Data!J869)</f>
        <v/>
      </c>
      <c r="K869" s="4">
        <f>Raw_Data!K869</f>
        <v/>
      </c>
      <c r="L869" s="4">
        <f>IF(TRIM(Raw_Data!L869)="","No Coupon",TRIM(Raw_Data!L869))</f>
        <v/>
      </c>
      <c r="M869" s="4">
        <f>PROPER(TRIM(Raw_Data!M869))</f>
        <v/>
      </c>
      <c r="N869" s="6">
        <f>ROUND(Raw_Data!N869,2)</f>
        <v/>
      </c>
      <c r="O869" s="7">
        <f>IF(COUNTIF($A$2:$A$1201,A869)&gt;1,"DUPLICATE","Unique")</f>
        <v/>
      </c>
      <c r="P869" s="7">
        <f>IF(COUNTIF($J$2:$J$1201,J869)&gt;1,"DUPLICATE","Unique")</f>
        <v/>
      </c>
      <c r="Q869" s="4">
        <f>IF(TRIM(Raw_Data!L869)="","Yes","No")</f>
        <v/>
      </c>
      <c r="R869" s="4">
        <f>IF(ISNUMBER(B869),"Valid","INVALID")</f>
        <v/>
      </c>
    </row>
    <row r="870">
      <c r="A870" s="4">
        <f>TRIM(Raw_Data!A870)</f>
        <v/>
      </c>
      <c r="B870" s="5">
        <f>Raw_Data!B870</f>
        <v/>
      </c>
      <c r="C870" s="4">
        <f>TRIM(Raw_Data!C870)</f>
        <v/>
      </c>
      <c r="D870" s="4">
        <f>PROPER(TRIM(Raw_Data!D870))</f>
        <v/>
      </c>
      <c r="E870" s="4">
        <f>Raw_Data!E870</f>
        <v/>
      </c>
      <c r="F870" s="6">
        <f>ROUND(Raw_Data!F870,2)</f>
        <v/>
      </c>
      <c r="G870" s="4">
        <f>PROPER(TRIM(Raw_Data!G870))</f>
        <v/>
      </c>
      <c r="H870" s="4">
        <f>PROPER(TRIM(Raw_Data!H870))</f>
        <v/>
      </c>
      <c r="I870" s="4">
        <f>PROPER(TRIM(Raw_Data!I870))</f>
        <v/>
      </c>
      <c r="J870" s="4">
        <f>TRIM(Raw_Data!J870)</f>
        <v/>
      </c>
      <c r="K870" s="4">
        <f>Raw_Data!K870</f>
        <v/>
      </c>
      <c r="L870" s="4">
        <f>IF(TRIM(Raw_Data!L870)="","No Coupon",TRIM(Raw_Data!L870))</f>
        <v/>
      </c>
      <c r="M870" s="4">
        <f>PROPER(TRIM(Raw_Data!M870))</f>
        <v/>
      </c>
      <c r="N870" s="6">
        <f>ROUND(Raw_Data!N870,2)</f>
        <v/>
      </c>
      <c r="O870" s="7">
        <f>IF(COUNTIF($A$2:$A$1201,A870)&gt;1,"DUPLICATE","Unique")</f>
        <v/>
      </c>
      <c r="P870" s="7">
        <f>IF(COUNTIF($J$2:$J$1201,J870)&gt;1,"DUPLICATE","Unique")</f>
        <v/>
      </c>
      <c r="Q870" s="4">
        <f>IF(TRIM(Raw_Data!L870)="","Yes","No")</f>
        <v/>
      </c>
      <c r="R870" s="4">
        <f>IF(ISNUMBER(B870),"Valid","INVALID")</f>
        <v/>
      </c>
    </row>
    <row r="871">
      <c r="A871" s="4">
        <f>TRIM(Raw_Data!A871)</f>
        <v/>
      </c>
      <c r="B871" s="5">
        <f>Raw_Data!B871</f>
        <v/>
      </c>
      <c r="C871" s="4">
        <f>TRIM(Raw_Data!C871)</f>
        <v/>
      </c>
      <c r="D871" s="4">
        <f>PROPER(TRIM(Raw_Data!D871))</f>
        <v/>
      </c>
      <c r="E871" s="4">
        <f>Raw_Data!E871</f>
        <v/>
      </c>
      <c r="F871" s="6">
        <f>ROUND(Raw_Data!F871,2)</f>
        <v/>
      </c>
      <c r="G871" s="4">
        <f>PROPER(TRIM(Raw_Data!G871))</f>
        <v/>
      </c>
      <c r="H871" s="4">
        <f>PROPER(TRIM(Raw_Data!H871))</f>
        <v/>
      </c>
      <c r="I871" s="4">
        <f>PROPER(TRIM(Raw_Data!I871))</f>
        <v/>
      </c>
      <c r="J871" s="4">
        <f>TRIM(Raw_Data!J871)</f>
        <v/>
      </c>
      <c r="K871" s="4">
        <f>Raw_Data!K871</f>
        <v/>
      </c>
      <c r="L871" s="4">
        <f>IF(TRIM(Raw_Data!L871)="","No Coupon",TRIM(Raw_Data!L871))</f>
        <v/>
      </c>
      <c r="M871" s="4">
        <f>PROPER(TRIM(Raw_Data!M871))</f>
        <v/>
      </c>
      <c r="N871" s="6">
        <f>ROUND(Raw_Data!N871,2)</f>
        <v/>
      </c>
      <c r="O871" s="7">
        <f>IF(COUNTIF($A$2:$A$1201,A871)&gt;1,"DUPLICATE","Unique")</f>
        <v/>
      </c>
      <c r="P871" s="7">
        <f>IF(COUNTIF($J$2:$J$1201,J871)&gt;1,"DUPLICATE","Unique")</f>
        <v/>
      </c>
      <c r="Q871" s="4">
        <f>IF(TRIM(Raw_Data!L871)="","Yes","No")</f>
        <v/>
      </c>
      <c r="R871" s="4">
        <f>IF(ISNUMBER(B871),"Valid","INVALID")</f>
        <v/>
      </c>
    </row>
    <row r="872">
      <c r="A872" s="4">
        <f>TRIM(Raw_Data!A872)</f>
        <v/>
      </c>
      <c r="B872" s="5">
        <f>Raw_Data!B872</f>
        <v/>
      </c>
      <c r="C872" s="4">
        <f>TRIM(Raw_Data!C872)</f>
        <v/>
      </c>
      <c r="D872" s="4">
        <f>PROPER(TRIM(Raw_Data!D872))</f>
        <v/>
      </c>
      <c r="E872" s="4">
        <f>Raw_Data!E872</f>
        <v/>
      </c>
      <c r="F872" s="6">
        <f>ROUND(Raw_Data!F872,2)</f>
        <v/>
      </c>
      <c r="G872" s="4">
        <f>PROPER(TRIM(Raw_Data!G872))</f>
        <v/>
      </c>
      <c r="H872" s="4">
        <f>PROPER(TRIM(Raw_Data!H872))</f>
        <v/>
      </c>
      <c r="I872" s="4">
        <f>PROPER(TRIM(Raw_Data!I872))</f>
        <v/>
      </c>
      <c r="J872" s="4">
        <f>TRIM(Raw_Data!J872)</f>
        <v/>
      </c>
      <c r="K872" s="4">
        <f>Raw_Data!K872</f>
        <v/>
      </c>
      <c r="L872" s="4">
        <f>IF(TRIM(Raw_Data!L872)="","No Coupon",TRIM(Raw_Data!L872))</f>
        <v/>
      </c>
      <c r="M872" s="4">
        <f>PROPER(TRIM(Raw_Data!M872))</f>
        <v/>
      </c>
      <c r="N872" s="6">
        <f>ROUND(Raw_Data!N872,2)</f>
        <v/>
      </c>
      <c r="O872" s="7">
        <f>IF(COUNTIF($A$2:$A$1201,A872)&gt;1,"DUPLICATE","Unique")</f>
        <v/>
      </c>
      <c r="P872" s="7">
        <f>IF(COUNTIF($J$2:$J$1201,J872)&gt;1,"DUPLICATE","Unique")</f>
        <v/>
      </c>
      <c r="Q872" s="4">
        <f>IF(TRIM(Raw_Data!L872)="","Yes","No")</f>
        <v/>
      </c>
      <c r="R872" s="4">
        <f>IF(ISNUMBER(B872),"Valid","INVALID")</f>
        <v/>
      </c>
    </row>
    <row r="873">
      <c r="A873" s="4">
        <f>TRIM(Raw_Data!A873)</f>
        <v/>
      </c>
      <c r="B873" s="5">
        <f>Raw_Data!B873</f>
        <v/>
      </c>
      <c r="C873" s="4">
        <f>TRIM(Raw_Data!C873)</f>
        <v/>
      </c>
      <c r="D873" s="4">
        <f>PROPER(TRIM(Raw_Data!D873))</f>
        <v/>
      </c>
      <c r="E873" s="4">
        <f>Raw_Data!E873</f>
        <v/>
      </c>
      <c r="F873" s="6">
        <f>ROUND(Raw_Data!F873,2)</f>
        <v/>
      </c>
      <c r="G873" s="4">
        <f>PROPER(TRIM(Raw_Data!G873))</f>
        <v/>
      </c>
      <c r="H873" s="4">
        <f>PROPER(TRIM(Raw_Data!H873))</f>
        <v/>
      </c>
      <c r="I873" s="4">
        <f>PROPER(TRIM(Raw_Data!I873))</f>
        <v/>
      </c>
      <c r="J873" s="4">
        <f>TRIM(Raw_Data!J873)</f>
        <v/>
      </c>
      <c r="K873" s="4">
        <f>Raw_Data!K873</f>
        <v/>
      </c>
      <c r="L873" s="4">
        <f>IF(TRIM(Raw_Data!L873)="","No Coupon",TRIM(Raw_Data!L873))</f>
        <v/>
      </c>
      <c r="M873" s="4">
        <f>PROPER(TRIM(Raw_Data!M873))</f>
        <v/>
      </c>
      <c r="N873" s="6">
        <f>ROUND(Raw_Data!N873,2)</f>
        <v/>
      </c>
      <c r="O873" s="7">
        <f>IF(COUNTIF($A$2:$A$1201,A873)&gt;1,"DUPLICATE","Unique")</f>
        <v/>
      </c>
      <c r="P873" s="7">
        <f>IF(COUNTIF($J$2:$J$1201,J873)&gt;1,"DUPLICATE","Unique")</f>
        <v/>
      </c>
      <c r="Q873" s="4">
        <f>IF(TRIM(Raw_Data!L873)="","Yes","No")</f>
        <v/>
      </c>
      <c r="R873" s="4">
        <f>IF(ISNUMBER(B873),"Valid","INVALID")</f>
        <v/>
      </c>
    </row>
    <row r="874">
      <c r="A874" s="4">
        <f>TRIM(Raw_Data!A874)</f>
        <v/>
      </c>
      <c r="B874" s="5">
        <f>Raw_Data!B874</f>
        <v/>
      </c>
      <c r="C874" s="4">
        <f>TRIM(Raw_Data!C874)</f>
        <v/>
      </c>
      <c r="D874" s="4">
        <f>PROPER(TRIM(Raw_Data!D874))</f>
        <v/>
      </c>
      <c r="E874" s="4">
        <f>Raw_Data!E874</f>
        <v/>
      </c>
      <c r="F874" s="6">
        <f>ROUND(Raw_Data!F874,2)</f>
        <v/>
      </c>
      <c r="G874" s="4">
        <f>PROPER(TRIM(Raw_Data!G874))</f>
        <v/>
      </c>
      <c r="H874" s="4">
        <f>PROPER(TRIM(Raw_Data!H874))</f>
        <v/>
      </c>
      <c r="I874" s="4">
        <f>PROPER(TRIM(Raw_Data!I874))</f>
        <v/>
      </c>
      <c r="J874" s="4">
        <f>TRIM(Raw_Data!J874)</f>
        <v/>
      </c>
      <c r="K874" s="4">
        <f>Raw_Data!K874</f>
        <v/>
      </c>
      <c r="L874" s="4">
        <f>IF(TRIM(Raw_Data!L874)="","No Coupon",TRIM(Raw_Data!L874))</f>
        <v/>
      </c>
      <c r="M874" s="4">
        <f>PROPER(TRIM(Raw_Data!M874))</f>
        <v/>
      </c>
      <c r="N874" s="6">
        <f>ROUND(Raw_Data!N874,2)</f>
        <v/>
      </c>
      <c r="O874" s="7">
        <f>IF(COUNTIF($A$2:$A$1201,A874)&gt;1,"DUPLICATE","Unique")</f>
        <v/>
      </c>
      <c r="P874" s="7">
        <f>IF(COUNTIF($J$2:$J$1201,J874)&gt;1,"DUPLICATE","Unique")</f>
        <v/>
      </c>
      <c r="Q874" s="4">
        <f>IF(TRIM(Raw_Data!L874)="","Yes","No")</f>
        <v/>
      </c>
      <c r="R874" s="4">
        <f>IF(ISNUMBER(B874),"Valid","INVALID")</f>
        <v/>
      </c>
    </row>
    <row r="875">
      <c r="A875" s="4">
        <f>TRIM(Raw_Data!A875)</f>
        <v/>
      </c>
      <c r="B875" s="5">
        <f>Raw_Data!B875</f>
        <v/>
      </c>
      <c r="C875" s="4">
        <f>TRIM(Raw_Data!C875)</f>
        <v/>
      </c>
      <c r="D875" s="4">
        <f>PROPER(TRIM(Raw_Data!D875))</f>
        <v/>
      </c>
      <c r="E875" s="4">
        <f>Raw_Data!E875</f>
        <v/>
      </c>
      <c r="F875" s="6">
        <f>ROUND(Raw_Data!F875,2)</f>
        <v/>
      </c>
      <c r="G875" s="4">
        <f>PROPER(TRIM(Raw_Data!G875))</f>
        <v/>
      </c>
      <c r="H875" s="4">
        <f>PROPER(TRIM(Raw_Data!H875))</f>
        <v/>
      </c>
      <c r="I875" s="4">
        <f>PROPER(TRIM(Raw_Data!I875))</f>
        <v/>
      </c>
      <c r="J875" s="4">
        <f>TRIM(Raw_Data!J875)</f>
        <v/>
      </c>
      <c r="K875" s="4">
        <f>Raw_Data!K875</f>
        <v/>
      </c>
      <c r="L875" s="4">
        <f>IF(TRIM(Raw_Data!L875)="","No Coupon",TRIM(Raw_Data!L875))</f>
        <v/>
      </c>
      <c r="M875" s="4">
        <f>PROPER(TRIM(Raw_Data!M875))</f>
        <v/>
      </c>
      <c r="N875" s="6">
        <f>ROUND(Raw_Data!N875,2)</f>
        <v/>
      </c>
      <c r="O875" s="7">
        <f>IF(COUNTIF($A$2:$A$1201,A875)&gt;1,"DUPLICATE","Unique")</f>
        <v/>
      </c>
      <c r="P875" s="7">
        <f>IF(COUNTIF($J$2:$J$1201,J875)&gt;1,"DUPLICATE","Unique")</f>
        <v/>
      </c>
      <c r="Q875" s="4">
        <f>IF(TRIM(Raw_Data!L875)="","Yes","No")</f>
        <v/>
      </c>
      <c r="R875" s="4">
        <f>IF(ISNUMBER(B875),"Valid","INVALID")</f>
        <v/>
      </c>
    </row>
    <row r="876">
      <c r="A876" s="4">
        <f>TRIM(Raw_Data!A876)</f>
        <v/>
      </c>
      <c r="B876" s="5">
        <f>Raw_Data!B876</f>
        <v/>
      </c>
      <c r="C876" s="4">
        <f>TRIM(Raw_Data!C876)</f>
        <v/>
      </c>
      <c r="D876" s="4">
        <f>PROPER(TRIM(Raw_Data!D876))</f>
        <v/>
      </c>
      <c r="E876" s="4">
        <f>Raw_Data!E876</f>
        <v/>
      </c>
      <c r="F876" s="6">
        <f>ROUND(Raw_Data!F876,2)</f>
        <v/>
      </c>
      <c r="G876" s="4">
        <f>PROPER(TRIM(Raw_Data!G876))</f>
        <v/>
      </c>
      <c r="H876" s="4">
        <f>PROPER(TRIM(Raw_Data!H876))</f>
        <v/>
      </c>
      <c r="I876" s="4">
        <f>PROPER(TRIM(Raw_Data!I876))</f>
        <v/>
      </c>
      <c r="J876" s="4">
        <f>TRIM(Raw_Data!J876)</f>
        <v/>
      </c>
      <c r="K876" s="4">
        <f>Raw_Data!K876</f>
        <v/>
      </c>
      <c r="L876" s="4">
        <f>IF(TRIM(Raw_Data!L876)="","No Coupon",TRIM(Raw_Data!L876))</f>
        <v/>
      </c>
      <c r="M876" s="4">
        <f>PROPER(TRIM(Raw_Data!M876))</f>
        <v/>
      </c>
      <c r="N876" s="6">
        <f>ROUND(Raw_Data!N876,2)</f>
        <v/>
      </c>
      <c r="O876" s="7">
        <f>IF(COUNTIF($A$2:$A$1201,A876)&gt;1,"DUPLICATE","Unique")</f>
        <v/>
      </c>
      <c r="P876" s="7">
        <f>IF(COUNTIF($J$2:$J$1201,J876)&gt;1,"DUPLICATE","Unique")</f>
        <v/>
      </c>
      <c r="Q876" s="4">
        <f>IF(TRIM(Raw_Data!L876)="","Yes","No")</f>
        <v/>
      </c>
      <c r="R876" s="4">
        <f>IF(ISNUMBER(B876),"Valid","INVALID")</f>
        <v/>
      </c>
    </row>
    <row r="877">
      <c r="A877" s="4">
        <f>TRIM(Raw_Data!A877)</f>
        <v/>
      </c>
      <c r="B877" s="5">
        <f>Raw_Data!B877</f>
        <v/>
      </c>
      <c r="C877" s="4">
        <f>TRIM(Raw_Data!C877)</f>
        <v/>
      </c>
      <c r="D877" s="4">
        <f>PROPER(TRIM(Raw_Data!D877))</f>
        <v/>
      </c>
      <c r="E877" s="4">
        <f>Raw_Data!E877</f>
        <v/>
      </c>
      <c r="F877" s="6">
        <f>ROUND(Raw_Data!F877,2)</f>
        <v/>
      </c>
      <c r="G877" s="4">
        <f>PROPER(TRIM(Raw_Data!G877))</f>
        <v/>
      </c>
      <c r="H877" s="4">
        <f>PROPER(TRIM(Raw_Data!H877))</f>
        <v/>
      </c>
      <c r="I877" s="4">
        <f>PROPER(TRIM(Raw_Data!I877))</f>
        <v/>
      </c>
      <c r="J877" s="4">
        <f>TRIM(Raw_Data!J877)</f>
        <v/>
      </c>
      <c r="K877" s="4">
        <f>Raw_Data!K877</f>
        <v/>
      </c>
      <c r="L877" s="4">
        <f>IF(TRIM(Raw_Data!L877)="","No Coupon",TRIM(Raw_Data!L877))</f>
        <v/>
      </c>
      <c r="M877" s="4">
        <f>PROPER(TRIM(Raw_Data!M877))</f>
        <v/>
      </c>
      <c r="N877" s="6">
        <f>ROUND(Raw_Data!N877,2)</f>
        <v/>
      </c>
      <c r="O877" s="7">
        <f>IF(COUNTIF($A$2:$A$1201,A877)&gt;1,"DUPLICATE","Unique")</f>
        <v/>
      </c>
      <c r="P877" s="7">
        <f>IF(COUNTIF($J$2:$J$1201,J877)&gt;1,"DUPLICATE","Unique")</f>
        <v/>
      </c>
      <c r="Q877" s="4">
        <f>IF(TRIM(Raw_Data!L877)="","Yes","No")</f>
        <v/>
      </c>
      <c r="R877" s="4">
        <f>IF(ISNUMBER(B877),"Valid","INVALID")</f>
        <v/>
      </c>
    </row>
    <row r="878">
      <c r="A878" s="4">
        <f>TRIM(Raw_Data!A878)</f>
        <v/>
      </c>
      <c r="B878" s="5">
        <f>Raw_Data!B878</f>
        <v/>
      </c>
      <c r="C878" s="4">
        <f>TRIM(Raw_Data!C878)</f>
        <v/>
      </c>
      <c r="D878" s="4">
        <f>PROPER(TRIM(Raw_Data!D878))</f>
        <v/>
      </c>
      <c r="E878" s="4">
        <f>Raw_Data!E878</f>
        <v/>
      </c>
      <c r="F878" s="6">
        <f>ROUND(Raw_Data!F878,2)</f>
        <v/>
      </c>
      <c r="G878" s="4">
        <f>PROPER(TRIM(Raw_Data!G878))</f>
        <v/>
      </c>
      <c r="H878" s="4">
        <f>PROPER(TRIM(Raw_Data!H878))</f>
        <v/>
      </c>
      <c r="I878" s="4">
        <f>PROPER(TRIM(Raw_Data!I878))</f>
        <v/>
      </c>
      <c r="J878" s="4">
        <f>TRIM(Raw_Data!J878)</f>
        <v/>
      </c>
      <c r="K878" s="4">
        <f>Raw_Data!K878</f>
        <v/>
      </c>
      <c r="L878" s="4">
        <f>IF(TRIM(Raw_Data!L878)="","No Coupon",TRIM(Raw_Data!L878))</f>
        <v/>
      </c>
      <c r="M878" s="4">
        <f>PROPER(TRIM(Raw_Data!M878))</f>
        <v/>
      </c>
      <c r="N878" s="6">
        <f>ROUND(Raw_Data!N878,2)</f>
        <v/>
      </c>
      <c r="O878" s="7">
        <f>IF(COUNTIF($A$2:$A$1201,A878)&gt;1,"DUPLICATE","Unique")</f>
        <v/>
      </c>
      <c r="P878" s="7">
        <f>IF(COUNTIF($J$2:$J$1201,J878)&gt;1,"DUPLICATE","Unique")</f>
        <v/>
      </c>
      <c r="Q878" s="4">
        <f>IF(TRIM(Raw_Data!L878)="","Yes","No")</f>
        <v/>
      </c>
      <c r="R878" s="4">
        <f>IF(ISNUMBER(B878),"Valid","INVALID")</f>
        <v/>
      </c>
    </row>
    <row r="879">
      <c r="A879" s="4">
        <f>TRIM(Raw_Data!A879)</f>
        <v/>
      </c>
      <c r="B879" s="5">
        <f>Raw_Data!B879</f>
        <v/>
      </c>
      <c r="C879" s="4">
        <f>TRIM(Raw_Data!C879)</f>
        <v/>
      </c>
      <c r="D879" s="4">
        <f>PROPER(TRIM(Raw_Data!D879))</f>
        <v/>
      </c>
      <c r="E879" s="4">
        <f>Raw_Data!E879</f>
        <v/>
      </c>
      <c r="F879" s="6">
        <f>ROUND(Raw_Data!F879,2)</f>
        <v/>
      </c>
      <c r="G879" s="4">
        <f>PROPER(TRIM(Raw_Data!G879))</f>
        <v/>
      </c>
      <c r="H879" s="4">
        <f>PROPER(TRIM(Raw_Data!H879))</f>
        <v/>
      </c>
      <c r="I879" s="4">
        <f>PROPER(TRIM(Raw_Data!I879))</f>
        <v/>
      </c>
      <c r="J879" s="4">
        <f>TRIM(Raw_Data!J879)</f>
        <v/>
      </c>
      <c r="K879" s="4">
        <f>Raw_Data!K879</f>
        <v/>
      </c>
      <c r="L879" s="4">
        <f>IF(TRIM(Raw_Data!L879)="","No Coupon",TRIM(Raw_Data!L879))</f>
        <v/>
      </c>
      <c r="M879" s="4">
        <f>PROPER(TRIM(Raw_Data!M879))</f>
        <v/>
      </c>
      <c r="N879" s="6">
        <f>ROUND(Raw_Data!N879,2)</f>
        <v/>
      </c>
      <c r="O879" s="7">
        <f>IF(COUNTIF($A$2:$A$1201,A879)&gt;1,"DUPLICATE","Unique")</f>
        <v/>
      </c>
      <c r="P879" s="7">
        <f>IF(COUNTIF($J$2:$J$1201,J879)&gt;1,"DUPLICATE","Unique")</f>
        <v/>
      </c>
      <c r="Q879" s="4">
        <f>IF(TRIM(Raw_Data!L879)="","Yes","No")</f>
        <v/>
      </c>
      <c r="R879" s="4">
        <f>IF(ISNUMBER(B879),"Valid","INVALID")</f>
        <v/>
      </c>
    </row>
    <row r="880">
      <c r="A880" s="4">
        <f>TRIM(Raw_Data!A880)</f>
        <v/>
      </c>
      <c r="B880" s="5">
        <f>Raw_Data!B880</f>
        <v/>
      </c>
      <c r="C880" s="4">
        <f>TRIM(Raw_Data!C880)</f>
        <v/>
      </c>
      <c r="D880" s="4">
        <f>PROPER(TRIM(Raw_Data!D880))</f>
        <v/>
      </c>
      <c r="E880" s="4">
        <f>Raw_Data!E880</f>
        <v/>
      </c>
      <c r="F880" s="6">
        <f>ROUND(Raw_Data!F880,2)</f>
        <v/>
      </c>
      <c r="G880" s="4">
        <f>PROPER(TRIM(Raw_Data!G880))</f>
        <v/>
      </c>
      <c r="H880" s="4">
        <f>PROPER(TRIM(Raw_Data!H880))</f>
        <v/>
      </c>
      <c r="I880" s="4">
        <f>PROPER(TRIM(Raw_Data!I880))</f>
        <v/>
      </c>
      <c r="J880" s="4">
        <f>TRIM(Raw_Data!J880)</f>
        <v/>
      </c>
      <c r="K880" s="4">
        <f>Raw_Data!K880</f>
        <v/>
      </c>
      <c r="L880" s="4">
        <f>IF(TRIM(Raw_Data!L880)="","No Coupon",TRIM(Raw_Data!L880))</f>
        <v/>
      </c>
      <c r="M880" s="4">
        <f>PROPER(TRIM(Raw_Data!M880))</f>
        <v/>
      </c>
      <c r="N880" s="6">
        <f>ROUND(Raw_Data!N880,2)</f>
        <v/>
      </c>
      <c r="O880" s="7">
        <f>IF(COUNTIF($A$2:$A$1201,A880)&gt;1,"DUPLICATE","Unique")</f>
        <v/>
      </c>
      <c r="P880" s="7">
        <f>IF(COUNTIF($J$2:$J$1201,J880)&gt;1,"DUPLICATE","Unique")</f>
        <v/>
      </c>
      <c r="Q880" s="4">
        <f>IF(TRIM(Raw_Data!L880)="","Yes","No")</f>
        <v/>
      </c>
      <c r="R880" s="4">
        <f>IF(ISNUMBER(B880),"Valid","INVALID")</f>
        <v/>
      </c>
    </row>
    <row r="881">
      <c r="A881" s="4">
        <f>TRIM(Raw_Data!A881)</f>
        <v/>
      </c>
      <c r="B881" s="5">
        <f>Raw_Data!B881</f>
        <v/>
      </c>
      <c r="C881" s="4">
        <f>TRIM(Raw_Data!C881)</f>
        <v/>
      </c>
      <c r="D881" s="4">
        <f>PROPER(TRIM(Raw_Data!D881))</f>
        <v/>
      </c>
      <c r="E881" s="4">
        <f>Raw_Data!E881</f>
        <v/>
      </c>
      <c r="F881" s="6">
        <f>ROUND(Raw_Data!F881,2)</f>
        <v/>
      </c>
      <c r="G881" s="4">
        <f>PROPER(TRIM(Raw_Data!G881))</f>
        <v/>
      </c>
      <c r="H881" s="4">
        <f>PROPER(TRIM(Raw_Data!H881))</f>
        <v/>
      </c>
      <c r="I881" s="4">
        <f>PROPER(TRIM(Raw_Data!I881))</f>
        <v/>
      </c>
      <c r="J881" s="4">
        <f>TRIM(Raw_Data!J881)</f>
        <v/>
      </c>
      <c r="K881" s="4">
        <f>Raw_Data!K881</f>
        <v/>
      </c>
      <c r="L881" s="4">
        <f>IF(TRIM(Raw_Data!L881)="","No Coupon",TRIM(Raw_Data!L881))</f>
        <v/>
      </c>
      <c r="M881" s="4">
        <f>PROPER(TRIM(Raw_Data!M881))</f>
        <v/>
      </c>
      <c r="N881" s="6">
        <f>ROUND(Raw_Data!N881,2)</f>
        <v/>
      </c>
      <c r="O881" s="7">
        <f>IF(COUNTIF($A$2:$A$1201,A881)&gt;1,"DUPLICATE","Unique")</f>
        <v/>
      </c>
      <c r="P881" s="7">
        <f>IF(COUNTIF($J$2:$J$1201,J881)&gt;1,"DUPLICATE","Unique")</f>
        <v/>
      </c>
      <c r="Q881" s="4">
        <f>IF(TRIM(Raw_Data!L881)="","Yes","No")</f>
        <v/>
      </c>
      <c r="R881" s="4">
        <f>IF(ISNUMBER(B881),"Valid","INVALID")</f>
        <v/>
      </c>
    </row>
    <row r="882">
      <c r="A882" s="4">
        <f>TRIM(Raw_Data!A882)</f>
        <v/>
      </c>
      <c r="B882" s="5">
        <f>Raw_Data!B882</f>
        <v/>
      </c>
      <c r="C882" s="4">
        <f>TRIM(Raw_Data!C882)</f>
        <v/>
      </c>
      <c r="D882" s="4">
        <f>PROPER(TRIM(Raw_Data!D882))</f>
        <v/>
      </c>
      <c r="E882" s="4">
        <f>Raw_Data!E882</f>
        <v/>
      </c>
      <c r="F882" s="6">
        <f>ROUND(Raw_Data!F882,2)</f>
        <v/>
      </c>
      <c r="G882" s="4">
        <f>PROPER(TRIM(Raw_Data!G882))</f>
        <v/>
      </c>
      <c r="H882" s="4">
        <f>PROPER(TRIM(Raw_Data!H882))</f>
        <v/>
      </c>
      <c r="I882" s="4">
        <f>PROPER(TRIM(Raw_Data!I882))</f>
        <v/>
      </c>
      <c r="J882" s="4">
        <f>TRIM(Raw_Data!J882)</f>
        <v/>
      </c>
      <c r="K882" s="4">
        <f>Raw_Data!K882</f>
        <v/>
      </c>
      <c r="L882" s="4">
        <f>IF(TRIM(Raw_Data!L882)="","No Coupon",TRIM(Raw_Data!L882))</f>
        <v/>
      </c>
      <c r="M882" s="4">
        <f>PROPER(TRIM(Raw_Data!M882))</f>
        <v/>
      </c>
      <c r="N882" s="6">
        <f>ROUND(Raw_Data!N882,2)</f>
        <v/>
      </c>
      <c r="O882" s="7">
        <f>IF(COUNTIF($A$2:$A$1201,A882)&gt;1,"DUPLICATE","Unique")</f>
        <v/>
      </c>
      <c r="P882" s="7">
        <f>IF(COUNTIF($J$2:$J$1201,J882)&gt;1,"DUPLICATE","Unique")</f>
        <v/>
      </c>
      <c r="Q882" s="4">
        <f>IF(TRIM(Raw_Data!L882)="","Yes","No")</f>
        <v/>
      </c>
      <c r="R882" s="4">
        <f>IF(ISNUMBER(B882),"Valid","INVALID")</f>
        <v/>
      </c>
    </row>
    <row r="883">
      <c r="A883" s="4">
        <f>TRIM(Raw_Data!A883)</f>
        <v/>
      </c>
      <c r="B883" s="5">
        <f>Raw_Data!B883</f>
        <v/>
      </c>
      <c r="C883" s="4">
        <f>TRIM(Raw_Data!C883)</f>
        <v/>
      </c>
      <c r="D883" s="4">
        <f>PROPER(TRIM(Raw_Data!D883))</f>
        <v/>
      </c>
      <c r="E883" s="4">
        <f>Raw_Data!E883</f>
        <v/>
      </c>
      <c r="F883" s="6">
        <f>ROUND(Raw_Data!F883,2)</f>
        <v/>
      </c>
      <c r="G883" s="4">
        <f>PROPER(TRIM(Raw_Data!G883))</f>
        <v/>
      </c>
      <c r="H883" s="4">
        <f>PROPER(TRIM(Raw_Data!H883))</f>
        <v/>
      </c>
      <c r="I883" s="4">
        <f>PROPER(TRIM(Raw_Data!I883))</f>
        <v/>
      </c>
      <c r="J883" s="4">
        <f>TRIM(Raw_Data!J883)</f>
        <v/>
      </c>
      <c r="K883" s="4">
        <f>Raw_Data!K883</f>
        <v/>
      </c>
      <c r="L883" s="4">
        <f>IF(TRIM(Raw_Data!L883)="","No Coupon",TRIM(Raw_Data!L883))</f>
        <v/>
      </c>
      <c r="M883" s="4">
        <f>PROPER(TRIM(Raw_Data!M883))</f>
        <v/>
      </c>
      <c r="N883" s="6">
        <f>ROUND(Raw_Data!N883,2)</f>
        <v/>
      </c>
      <c r="O883" s="7">
        <f>IF(COUNTIF($A$2:$A$1201,A883)&gt;1,"DUPLICATE","Unique")</f>
        <v/>
      </c>
      <c r="P883" s="7">
        <f>IF(COUNTIF($J$2:$J$1201,J883)&gt;1,"DUPLICATE","Unique")</f>
        <v/>
      </c>
      <c r="Q883" s="4">
        <f>IF(TRIM(Raw_Data!L883)="","Yes","No")</f>
        <v/>
      </c>
      <c r="R883" s="4">
        <f>IF(ISNUMBER(B883),"Valid","INVALID")</f>
        <v/>
      </c>
    </row>
    <row r="884">
      <c r="A884" s="4">
        <f>TRIM(Raw_Data!A884)</f>
        <v/>
      </c>
      <c r="B884" s="5">
        <f>Raw_Data!B884</f>
        <v/>
      </c>
      <c r="C884" s="4">
        <f>TRIM(Raw_Data!C884)</f>
        <v/>
      </c>
      <c r="D884" s="4">
        <f>PROPER(TRIM(Raw_Data!D884))</f>
        <v/>
      </c>
      <c r="E884" s="4">
        <f>Raw_Data!E884</f>
        <v/>
      </c>
      <c r="F884" s="6">
        <f>ROUND(Raw_Data!F884,2)</f>
        <v/>
      </c>
      <c r="G884" s="4">
        <f>PROPER(TRIM(Raw_Data!G884))</f>
        <v/>
      </c>
      <c r="H884" s="4">
        <f>PROPER(TRIM(Raw_Data!H884))</f>
        <v/>
      </c>
      <c r="I884" s="4">
        <f>PROPER(TRIM(Raw_Data!I884))</f>
        <v/>
      </c>
      <c r="J884" s="4">
        <f>TRIM(Raw_Data!J884)</f>
        <v/>
      </c>
      <c r="K884" s="4">
        <f>Raw_Data!K884</f>
        <v/>
      </c>
      <c r="L884" s="4">
        <f>IF(TRIM(Raw_Data!L884)="","No Coupon",TRIM(Raw_Data!L884))</f>
        <v/>
      </c>
      <c r="M884" s="4">
        <f>PROPER(TRIM(Raw_Data!M884))</f>
        <v/>
      </c>
      <c r="N884" s="6">
        <f>ROUND(Raw_Data!N884,2)</f>
        <v/>
      </c>
      <c r="O884" s="7">
        <f>IF(COUNTIF($A$2:$A$1201,A884)&gt;1,"DUPLICATE","Unique")</f>
        <v/>
      </c>
      <c r="P884" s="7">
        <f>IF(COUNTIF($J$2:$J$1201,J884)&gt;1,"DUPLICATE","Unique")</f>
        <v/>
      </c>
      <c r="Q884" s="4">
        <f>IF(TRIM(Raw_Data!L884)="","Yes","No")</f>
        <v/>
      </c>
      <c r="R884" s="4">
        <f>IF(ISNUMBER(B884),"Valid","INVALID")</f>
        <v/>
      </c>
    </row>
    <row r="885">
      <c r="A885" s="4">
        <f>TRIM(Raw_Data!A885)</f>
        <v/>
      </c>
      <c r="B885" s="5">
        <f>Raw_Data!B885</f>
        <v/>
      </c>
      <c r="C885" s="4">
        <f>TRIM(Raw_Data!C885)</f>
        <v/>
      </c>
      <c r="D885" s="4">
        <f>PROPER(TRIM(Raw_Data!D885))</f>
        <v/>
      </c>
      <c r="E885" s="4">
        <f>Raw_Data!E885</f>
        <v/>
      </c>
      <c r="F885" s="6">
        <f>ROUND(Raw_Data!F885,2)</f>
        <v/>
      </c>
      <c r="G885" s="4">
        <f>PROPER(TRIM(Raw_Data!G885))</f>
        <v/>
      </c>
      <c r="H885" s="4">
        <f>PROPER(TRIM(Raw_Data!H885))</f>
        <v/>
      </c>
      <c r="I885" s="4">
        <f>PROPER(TRIM(Raw_Data!I885))</f>
        <v/>
      </c>
      <c r="J885" s="4">
        <f>TRIM(Raw_Data!J885)</f>
        <v/>
      </c>
      <c r="K885" s="4">
        <f>Raw_Data!K885</f>
        <v/>
      </c>
      <c r="L885" s="4">
        <f>IF(TRIM(Raw_Data!L885)="","No Coupon",TRIM(Raw_Data!L885))</f>
        <v/>
      </c>
      <c r="M885" s="4">
        <f>PROPER(TRIM(Raw_Data!M885))</f>
        <v/>
      </c>
      <c r="N885" s="6">
        <f>ROUND(Raw_Data!N885,2)</f>
        <v/>
      </c>
      <c r="O885" s="7">
        <f>IF(COUNTIF($A$2:$A$1201,A885)&gt;1,"DUPLICATE","Unique")</f>
        <v/>
      </c>
      <c r="P885" s="7">
        <f>IF(COUNTIF($J$2:$J$1201,J885)&gt;1,"DUPLICATE","Unique")</f>
        <v/>
      </c>
      <c r="Q885" s="4">
        <f>IF(TRIM(Raw_Data!L885)="","Yes","No")</f>
        <v/>
      </c>
      <c r="R885" s="4">
        <f>IF(ISNUMBER(B885),"Valid","INVALID")</f>
        <v/>
      </c>
    </row>
    <row r="886">
      <c r="A886" s="4">
        <f>TRIM(Raw_Data!A886)</f>
        <v/>
      </c>
      <c r="B886" s="5">
        <f>Raw_Data!B886</f>
        <v/>
      </c>
      <c r="C886" s="4">
        <f>TRIM(Raw_Data!C886)</f>
        <v/>
      </c>
      <c r="D886" s="4">
        <f>PROPER(TRIM(Raw_Data!D886))</f>
        <v/>
      </c>
      <c r="E886" s="4">
        <f>Raw_Data!E886</f>
        <v/>
      </c>
      <c r="F886" s="6">
        <f>ROUND(Raw_Data!F886,2)</f>
        <v/>
      </c>
      <c r="G886" s="4">
        <f>PROPER(TRIM(Raw_Data!G886))</f>
        <v/>
      </c>
      <c r="H886" s="4">
        <f>PROPER(TRIM(Raw_Data!H886))</f>
        <v/>
      </c>
      <c r="I886" s="4">
        <f>PROPER(TRIM(Raw_Data!I886))</f>
        <v/>
      </c>
      <c r="J886" s="4">
        <f>TRIM(Raw_Data!J886)</f>
        <v/>
      </c>
      <c r="K886" s="4">
        <f>Raw_Data!K886</f>
        <v/>
      </c>
      <c r="L886" s="4">
        <f>IF(TRIM(Raw_Data!L886)="","No Coupon",TRIM(Raw_Data!L886))</f>
        <v/>
      </c>
      <c r="M886" s="4">
        <f>PROPER(TRIM(Raw_Data!M886))</f>
        <v/>
      </c>
      <c r="N886" s="6">
        <f>ROUND(Raw_Data!N886,2)</f>
        <v/>
      </c>
      <c r="O886" s="7">
        <f>IF(COUNTIF($A$2:$A$1201,A886)&gt;1,"DUPLICATE","Unique")</f>
        <v/>
      </c>
      <c r="P886" s="7">
        <f>IF(COUNTIF($J$2:$J$1201,J886)&gt;1,"DUPLICATE","Unique")</f>
        <v/>
      </c>
      <c r="Q886" s="4">
        <f>IF(TRIM(Raw_Data!L886)="","Yes","No")</f>
        <v/>
      </c>
      <c r="R886" s="4">
        <f>IF(ISNUMBER(B886),"Valid","INVALID")</f>
        <v/>
      </c>
    </row>
    <row r="887">
      <c r="A887" s="4">
        <f>TRIM(Raw_Data!A887)</f>
        <v/>
      </c>
      <c r="B887" s="5">
        <f>Raw_Data!B887</f>
        <v/>
      </c>
      <c r="C887" s="4">
        <f>TRIM(Raw_Data!C887)</f>
        <v/>
      </c>
      <c r="D887" s="4">
        <f>PROPER(TRIM(Raw_Data!D887))</f>
        <v/>
      </c>
      <c r="E887" s="4">
        <f>Raw_Data!E887</f>
        <v/>
      </c>
      <c r="F887" s="6">
        <f>ROUND(Raw_Data!F887,2)</f>
        <v/>
      </c>
      <c r="G887" s="4">
        <f>PROPER(TRIM(Raw_Data!G887))</f>
        <v/>
      </c>
      <c r="H887" s="4">
        <f>PROPER(TRIM(Raw_Data!H887))</f>
        <v/>
      </c>
      <c r="I887" s="4">
        <f>PROPER(TRIM(Raw_Data!I887))</f>
        <v/>
      </c>
      <c r="J887" s="4">
        <f>TRIM(Raw_Data!J887)</f>
        <v/>
      </c>
      <c r="K887" s="4">
        <f>Raw_Data!K887</f>
        <v/>
      </c>
      <c r="L887" s="4">
        <f>IF(TRIM(Raw_Data!L887)="","No Coupon",TRIM(Raw_Data!L887))</f>
        <v/>
      </c>
      <c r="M887" s="4">
        <f>PROPER(TRIM(Raw_Data!M887))</f>
        <v/>
      </c>
      <c r="N887" s="6">
        <f>ROUND(Raw_Data!N887,2)</f>
        <v/>
      </c>
      <c r="O887" s="7">
        <f>IF(COUNTIF($A$2:$A$1201,A887)&gt;1,"DUPLICATE","Unique")</f>
        <v/>
      </c>
      <c r="P887" s="7">
        <f>IF(COUNTIF($J$2:$J$1201,J887)&gt;1,"DUPLICATE","Unique")</f>
        <v/>
      </c>
      <c r="Q887" s="4">
        <f>IF(TRIM(Raw_Data!L887)="","Yes","No")</f>
        <v/>
      </c>
      <c r="R887" s="4">
        <f>IF(ISNUMBER(B887),"Valid","INVALID")</f>
        <v/>
      </c>
    </row>
    <row r="888">
      <c r="A888" s="4">
        <f>TRIM(Raw_Data!A888)</f>
        <v/>
      </c>
      <c r="B888" s="5">
        <f>Raw_Data!B888</f>
        <v/>
      </c>
      <c r="C888" s="4">
        <f>TRIM(Raw_Data!C888)</f>
        <v/>
      </c>
      <c r="D888" s="4">
        <f>PROPER(TRIM(Raw_Data!D888))</f>
        <v/>
      </c>
      <c r="E888" s="4">
        <f>Raw_Data!E888</f>
        <v/>
      </c>
      <c r="F888" s="6">
        <f>ROUND(Raw_Data!F888,2)</f>
        <v/>
      </c>
      <c r="G888" s="4">
        <f>PROPER(TRIM(Raw_Data!G888))</f>
        <v/>
      </c>
      <c r="H888" s="4">
        <f>PROPER(TRIM(Raw_Data!H888))</f>
        <v/>
      </c>
      <c r="I888" s="4">
        <f>PROPER(TRIM(Raw_Data!I888))</f>
        <v/>
      </c>
      <c r="J888" s="4">
        <f>TRIM(Raw_Data!J888)</f>
        <v/>
      </c>
      <c r="K888" s="4">
        <f>Raw_Data!K888</f>
        <v/>
      </c>
      <c r="L888" s="4">
        <f>IF(TRIM(Raw_Data!L888)="","No Coupon",TRIM(Raw_Data!L888))</f>
        <v/>
      </c>
      <c r="M888" s="4">
        <f>PROPER(TRIM(Raw_Data!M888))</f>
        <v/>
      </c>
      <c r="N888" s="6">
        <f>ROUND(Raw_Data!N888,2)</f>
        <v/>
      </c>
      <c r="O888" s="7">
        <f>IF(COUNTIF($A$2:$A$1201,A888)&gt;1,"DUPLICATE","Unique")</f>
        <v/>
      </c>
      <c r="P888" s="7">
        <f>IF(COUNTIF($J$2:$J$1201,J888)&gt;1,"DUPLICATE","Unique")</f>
        <v/>
      </c>
      <c r="Q888" s="4">
        <f>IF(TRIM(Raw_Data!L888)="","Yes","No")</f>
        <v/>
      </c>
      <c r="R888" s="4">
        <f>IF(ISNUMBER(B888),"Valid","INVALID")</f>
        <v/>
      </c>
    </row>
    <row r="889">
      <c r="A889" s="4">
        <f>TRIM(Raw_Data!A889)</f>
        <v/>
      </c>
      <c r="B889" s="5">
        <f>Raw_Data!B889</f>
        <v/>
      </c>
      <c r="C889" s="4">
        <f>TRIM(Raw_Data!C889)</f>
        <v/>
      </c>
      <c r="D889" s="4">
        <f>PROPER(TRIM(Raw_Data!D889))</f>
        <v/>
      </c>
      <c r="E889" s="4">
        <f>Raw_Data!E889</f>
        <v/>
      </c>
      <c r="F889" s="6">
        <f>ROUND(Raw_Data!F889,2)</f>
        <v/>
      </c>
      <c r="G889" s="4">
        <f>PROPER(TRIM(Raw_Data!G889))</f>
        <v/>
      </c>
      <c r="H889" s="4">
        <f>PROPER(TRIM(Raw_Data!H889))</f>
        <v/>
      </c>
      <c r="I889" s="4">
        <f>PROPER(TRIM(Raw_Data!I889))</f>
        <v/>
      </c>
      <c r="J889" s="4">
        <f>TRIM(Raw_Data!J889)</f>
        <v/>
      </c>
      <c r="K889" s="4">
        <f>Raw_Data!K889</f>
        <v/>
      </c>
      <c r="L889" s="4">
        <f>IF(TRIM(Raw_Data!L889)="","No Coupon",TRIM(Raw_Data!L889))</f>
        <v/>
      </c>
      <c r="M889" s="4">
        <f>PROPER(TRIM(Raw_Data!M889))</f>
        <v/>
      </c>
      <c r="N889" s="6">
        <f>ROUND(Raw_Data!N889,2)</f>
        <v/>
      </c>
      <c r="O889" s="7">
        <f>IF(COUNTIF($A$2:$A$1201,A889)&gt;1,"DUPLICATE","Unique")</f>
        <v/>
      </c>
      <c r="P889" s="7">
        <f>IF(COUNTIF($J$2:$J$1201,J889)&gt;1,"DUPLICATE","Unique")</f>
        <v/>
      </c>
      <c r="Q889" s="4">
        <f>IF(TRIM(Raw_Data!L889)="","Yes","No")</f>
        <v/>
      </c>
      <c r="R889" s="4">
        <f>IF(ISNUMBER(B889),"Valid","INVALID")</f>
        <v/>
      </c>
    </row>
    <row r="890">
      <c r="A890" s="4">
        <f>TRIM(Raw_Data!A890)</f>
        <v/>
      </c>
      <c r="B890" s="5">
        <f>Raw_Data!B890</f>
        <v/>
      </c>
      <c r="C890" s="4">
        <f>TRIM(Raw_Data!C890)</f>
        <v/>
      </c>
      <c r="D890" s="4">
        <f>PROPER(TRIM(Raw_Data!D890))</f>
        <v/>
      </c>
      <c r="E890" s="4">
        <f>Raw_Data!E890</f>
        <v/>
      </c>
      <c r="F890" s="6">
        <f>ROUND(Raw_Data!F890,2)</f>
        <v/>
      </c>
      <c r="G890" s="4">
        <f>PROPER(TRIM(Raw_Data!G890))</f>
        <v/>
      </c>
      <c r="H890" s="4">
        <f>PROPER(TRIM(Raw_Data!H890))</f>
        <v/>
      </c>
      <c r="I890" s="4">
        <f>PROPER(TRIM(Raw_Data!I890))</f>
        <v/>
      </c>
      <c r="J890" s="4">
        <f>TRIM(Raw_Data!J890)</f>
        <v/>
      </c>
      <c r="K890" s="4">
        <f>Raw_Data!K890</f>
        <v/>
      </c>
      <c r="L890" s="4">
        <f>IF(TRIM(Raw_Data!L890)="","No Coupon",TRIM(Raw_Data!L890))</f>
        <v/>
      </c>
      <c r="M890" s="4">
        <f>PROPER(TRIM(Raw_Data!M890))</f>
        <v/>
      </c>
      <c r="N890" s="6">
        <f>ROUND(Raw_Data!N890,2)</f>
        <v/>
      </c>
      <c r="O890" s="7">
        <f>IF(COUNTIF($A$2:$A$1201,A890)&gt;1,"DUPLICATE","Unique")</f>
        <v/>
      </c>
      <c r="P890" s="7">
        <f>IF(COUNTIF($J$2:$J$1201,J890)&gt;1,"DUPLICATE","Unique")</f>
        <v/>
      </c>
      <c r="Q890" s="4">
        <f>IF(TRIM(Raw_Data!L890)="","Yes","No")</f>
        <v/>
      </c>
      <c r="R890" s="4">
        <f>IF(ISNUMBER(B890),"Valid","INVALID")</f>
        <v/>
      </c>
    </row>
    <row r="891">
      <c r="A891" s="4">
        <f>TRIM(Raw_Data!A891)</f>
        <v/>
      </c>
      <c r="B891" s="5">
        <f>Raw_Data!B891</f>
        <v/>
      </c>
      <c r="C891" s="4">
        <f>TRIM(Raw_Data!C891)</f>
        <v/>
      </c>
      <c r="D891" s="4">
        <f>PROPER(TRIM(Raw_Data!D891))</f>
        <v/>
      </c>
      <c r="E891" s="4">
        <f>Raw_Data!E891</f>
        <v/>
      </c>
      <c r="F891" s="6">
        <f>ROUND(Raw_Data!F891,2)</f>
        <v/>
      </c>
      <c r="G891" s="4">
        <f>PROPER(TRIM(Raw_Data!G891))</f>
        <v/>
      </c>
      <c r="H891" s="4">
        <f>PROPER(TRIM(Raw_Data!H891))</f>
        <v/>
      </c>
      <c r="I891" s="4">
        <f>PROPER(TRIM(Raw_Data!I891))</f>
        <v/>
      </c>
      <c r="J891" s="4">
        <f>TRIM(Raw_Data!J891)</f>
        <v/>
      </c>
      <c r="K891" s="4">
        <f>Raw_Data!K891</f>
        <v/>
      </c>
      <c r="L891" s="4">
        <f>IF(TRIM(Raw_Data!L891)="","No Coupon",TRIM(Raw_Data!L891))</f>
        <v/>
      </c>
      <c r="M891" s="4">
        <f>PROPER(TRIM(Raw_Data!M891))</f>
        <v/>
      </c>
      <c r="N891" s="6">
        <f>ROUND(Raw_Data!N891,2)</f>
        <v/>
      </c>
      <c r="O891" s="7">
        <f>IF(COUNTIF($A$2:$A$1201,A891)&gt;1,"DUPLICATE","Unique")</f>
        <v/>
      </c>
      <c r="P891" s="7">
        <f>IF(COUNTIF($J$2:$J$1201,J891)&gt;1,"DUPLICATE","Unique")</f>
        <v/>
      </c>
      <c r="Q891" s="4">
        <f>IF(TRIM(Raw_Data!L891)="","Yes","No")</f>
        <v/>
      </c>
      <c r="R891" s="4">
        <f>IF(ISNUMBER(B891),"Valid","INVALID")</f>
        <v/>
      </c>
    </row>
    <row r="892">
      <c r="A892" s="4">
        <f>TRIM(Raw_Data!A892)</f>
        <v/>
      </c>
      <c r="B892" s="5">
        <f>Raw_Data!B892</f>
        <v/>
      </c>
      <c r="C892" s="4">
        <f>TRIM(Raw_Data!C892)</f>
        <v/>
      </c>
      <c r="D892" s="4">
        <f>PROPER(TRIM(Raw_Data!D892))</f>
        <v/>
      </c>
      <c r="E892" s="4">
        <f>Raw_Data!E892</f>
        <v/>
      </c>
      <c r="F892" s="6">
        <f>ROUND(Raw_Data!F892,2)</f>
        <v/>
      </c>
      <c r="G892" s="4">
        <f>PROPER(TRIM(Raw_Data!G892))</f>
        <v/>
      </c>
      <c r="H892" s="4">
        <f>PROPER(TRIM(Raw_Data!H892))</f>
        <v/>
      </c>
      <c r="I892" s="4">
        <f>PROPER(TRIM(Raw_Data!I892))</f>
        <v/>
      </c>
      <c r="J892" s="4">
        <f>TRIM(Raw_Data!J892)</f>
        <v/>
      </c>
      <c r="K892" s="4">
        <f>Raw_Data!K892</f>
        <v/>
      </c>
      <c r="L892" s="4">
        <f>IF(TRIM(Raw_Data!L892)="","No Coupon",TRIM(Raw_Data!L892))</f>
        <v/>
      </c>
      <c r="M892" s="4">
        <f>PROPER(TRIM(Raw_Data!M892))</f>
        <v/>
      </c>
      <c r="N892" s="6">
        <f>ROUND(Raw_Data!N892,2)</f>
        <v/>
      </c>
      <c r="O892" s="7">
        <f>IF(COUNTIF($A$2:$A$1201,A892)&gt;1,"DUPLICATE","Unique")</f>
        <v/>
      </c>
      <c r="P892" s="7">
        <f>IF(COUNTIF($J$2:$J$1201,J892)&gt;1,"DUPLICATE","Unique")</f>
        <v/>
      </c>
      <c r="Q892" s="4">
        <f>IF(TRIM(Raw_Data!L892)="","Yes","No")</f>
        <v/>
      </c>
      <c r="R892" s="4">
        <f>IF(ISNUMBER(B892),"Valid","INVALID")</f>
        <v/>
      </c>
    </row>
    <row r="893">
      <c r="A893" s="4">
        <f>TRIM(Raw_Data!A893)</f>
        <v/>
      </c>
      <c r="B893" s="5">
        <f>Raw_Data!B893</f>
        <v/>
      </c>
      <c r="C893" s="4">
        <f>TRIM(Raw_Data!C893)</f>
        <v/>
      </c>
      <c r="D893" s="4">
        <f>PROPER(TRIM(Raw_Data!D893))</f>
        <v/>
      </c>
      <c r="E893" s="4">
        <f>Raw_Data!E893</f>
        <v/>
      </c>
      <c r="F893" s="6">
        <f>ROUND(Raw_Data!F893,2)</f>
        <v/>
      </c>
      <c r="G893" s="4">
        <f>PROPER(TRIM(Raw_Data!G893))</f>
        <v/>
      </c>
      <c r="H893" s="4">
        <f>PROPER(TRIM(Raw_Data!H893))</f>
        <v/>
      </c>
      <c r="I893" s="4">
        <f>PROPER(TRIM(Raw_Data!I893))</f>
        <v/>
      </c>
      <c r="J893" s="4">
        <f>TRIM(Raw_Data!J893)</f>
        <v/>
      </c>
      <c r="K893" s="4">
        <f>Raw_Data!K893</f>
        <v/>
      </c>
      <c r="L893" s="4">
        <f>IF(TRIM(Raw_Data!L893)="","No Coupon",TRIM(Raw_Data!L893))</f>
        <v/>
      </c>
      <c r="M893" s="4">
        <f>PROPER(TRIM(Raw_Data!M893))</f>
        <v/>
      </c>
      <c r="N893" s="6">
        <f>ROUND(Raw_Data!N893,2)</f>
        <v/>
      </c>
      <c r="O893" s="7">
        <f>IF(COUNTIF($A$2:$A$1201,A893)&gt;1,"DUPLICATE","Unique")</f>
        <v/>
      </c>
      <c r="P893" s="7">
        <f>IF(COUNTIF($J$2:$J$1201,J893)&gt;1,"DUPLICATE","Unique")</f>
        <v/>
      </c>
      <c r="Q893" s="4">
        <f>IF(TRIM(Raw_Data!L893)="","Yes","No")</f>
        <v/>
      </c>
      <c r="R893" s="4">
        <f>IF(ISNUMBER(B893),"Valid","INVALID")</f>
        <v/>
      </c>
    </row>
    <row r="894">
      <c r="A894" s="4">
        <f>TRIM(Raw_Data!A894)</f>
        <v/>
      </c>
      <c r="B894" s="5">
        <f>Raw_Data!B894</f>
        <v/>
      </c>
      <c r="C894" s="4">
        <f>TRIM(Raw_Data!C894)</f>
        <v/>
      </c>
      <c r="D894" s="4">
        <f>PROPER(TRIM(Raw_Data!D894))</f>
        <v/>
      </c>
      <c r="E894" s="4">
        <f>Raw_Data!E894</f>
        <v/>
      </c>
      <c r="F894" s="6">
        <f>ROUND(Raw_Data!F894,2)</f>
        <v/>
      </c>
      <c r="G894" s="4">
        <f>PROPER(TRIM(Raw_Data!G894))</f>
        <v/>
      </c>
      <c r="H894" s="4">
        <f>PROPER(TRIM(Raw_Data!H894))</f>
        <v/>
      </c>
      <c r="I894" s="4">
        <f>PROPER(TRIM(Raw_Data!I894))</f>
        <v/>
      </c>
      <c r="J894" s="4">
        <f>TRIM(Raw_Data!J894)</f>
        <v/>
      </c>
      <c r="K894" s="4">
        <f>Raw_Data!K894</f>
        <v/>
      </c>
      <c r="L894" s="4">
        <f>IF(TRIM(Raw_Data!L894)="","No Coupon",TRIM(Raw_Data!L894))</f>
        <v/>
      </c>
      <c r="M894" s="4">
        <f>PROPER(TRIM(Raw_Data!M894))</f>
        <v/>
      </c>
      <c r="N894" s="6">
        <f>ROUND(Raw_Data!N894,2)</f>
        <v/>
      </c>
      <c r="O894" s="7">
        <f>IF(COUNTIF($A$2:$A$1201,A894)&gt;1,"DUPLICATE","Unique")</f>
        <v/>
      </c>
      <c r="P894" s="7">
        <f>IF(COUNTIF($J$2:$J$1201,J894)&gt;1,"DUPLICATE","Unique")</f>
        <v/>
      </c>
      <c r="Q894" s="4">
        <f>IF(TRIM(Raw_Data!L894)="","Yes","No")</f>
        <v/>
      </c>
      <c r="R894" s="4">
        <f>IF(ISNUMBER(B894),"Valid","INVALID")</f>
        <v/>
      </c>
    </row>
    <row r="895">
      <c r="A895" s="4">
        <f>TRIM(Raw_Data!A895)</f>
        <v/>
      </c>
      <c r="B895" s="5">
        <f>Raw_Data!B895</f>
        <v/>
      </c>
      <c r="C895" s="4">
        <f>TRIM(Raw_Data!C895)</f>
        <v/>
      </c>
      <c r="D895" s="4">
        <f>PROPER(TRIM(Raw_Data!D895))</f>
        <v/>
      </c>
      <c r="E895" s="4">
        <f>Raw_Data!E895</f>
        <v/>
      </c>
      <c r="F895" s="6">
        <f>ROUND(Raw_Data!F895,2)</f>
        <v/>
      </c>
      <c r="G895" s="4">
        <f>PROPER(TRIM(Raw_Data!G895))</f>
        <v/>
      </c>
      <c r="H895" s="4">
        <f>PROPER(TRIM(Raw_Data!H895))</f>
        <v/>
      </c>
      <c r="I895" s="4">
        <f>PROPER(TRIM(Raw_Data!I895))</f>
        <v/>
      </c>
      <c r="J895" s="4">
        <f>TRIM(Raw_Data!J895)</f>
        <v/>
      </c>
      <c r="K895" s="4">
        <f>Raw_Data!K895</f>
        <v/>
      </c>
      <c r="L895" s="4">
        <f>IF(TRIM(Raw_Data!L895)="","No Coupon",TRIM(Raw_Data!L895))</f>
        <v/>
      </c>
      <c r="M895" s="4">
        <f>PROPER(TRIM(Raw_Data!M895))</f>
        <v/>
      </c>
      <c r="N895" s="6">
        <f>ROUND(Raw_Data!N895,2)</f>
        <v/>
      </c>
      <c r="O895" s="7">
        <f>IF(COUNTIF($A$2:$A$1201,A895)&gt;1,"DUPLICATE","Unique")</f>
        <v/>
      </c>
      <c r="P895" s="7">
        <f>IF(COUNTIF($J$2:$J$1201,J895)&gt;1,"DUPLICATE","Unique")</f>
        <v/>
      </c>
      <c r="Q895" s="4">
        <f>IF(TRIM(Raw_Data!L895)="","Yes","No")</f>
        <v/>
      </c>
      <c r="R895" s="4">
        <f>IF(ISNUMBER(B895),"Valid","INVALID")</f>
        <v/>
      </c>
    </row>
    <row r="896">
      <c r="A896" s="4">
        <f>TRIM(Raw_Data!A896)</f>
        <v/>
      </c>
      <c r="B896" s="5">
        <f>Raw_Data!B896</f>
        <v/>
      </c>
      <c r="C896" s="4">
        <f>TRIM(Raw_Data!C896)</f>
        <v/>
      </c>
      <c r="D896" s="4">
        <f>PROPER(TRIM(Raw_Data!D896))</f>
        <v/>
      </c>
      <c r="E896" s="4">
        <f>Raw_Data!E896</f>
        <v/>
      </c>
      <c r="F896" s="6">
        <f>ROUND(Raw_Data!F896,2)</f>
        <v/>
      </c>
      <c r="G896" s="4">
        <f>PROPER(TRIM(Raw_Data!G896))</f>
        <v/>
      </c>
      <c r="H896" s="4">
        <f>PROPER(TRIM(Raw_Data!H896))</f>
        <v/>
      </c>
      <c r="I896" s="4">
        <f>PROPER(TRIM(Raw_Data!I896))</f>
        <v/>
      </c>
      <c r="J896" s="4">
        <f>TRIM(Raw_Data!J896)</f>
        <v/>
      </c>
      <c r="K896" s="4">
        <f>Raw_Data!K896</f>
        <v/>
      </c>
      <c r="L896" s="4">
        <f>IF(TRIM(Raw_Data!L896)="","No Coupon",TRIM(Raw_Data!L896))</f>
        <v/>
      </c>
      <c r="M896" s="4">
        <f>PROPER(TRIM(Raw_Data!M896))</f>
        <v/>
      </c>
      <c r="N896" s="6">
        <f>ROUND(Raw_Data!N896,2)</f>
        <v/>
      </c>
      <c r="O896" s="7">
        <f>IF(COUNTIF($A$2:$A$1201,A896)&gt;1,"DUPLICATE","Unique")</f>
        <v/>
      </c>
      <c r="P896" s="7">
        <f>IF(COUNTIF($J$2:$J$1201,J896)&gt;1,"DUPLICATE","Unique")</f>
        <v/>
      </c>
      <c r="Q896" s="4">
        <f>IF(TRIM(Raw_Data!L896)="","Yes","No")</f>
        <v/>
      </c>
      <c r="R896" s="4">
        <f>IF(ISNUMBER(B896),"Valid","INVALID")</f>
        <v/>
      </c>
    </row>
    <row r="897">
      <c r="A897" s="4">
        <f>TRIM(Raw_Data!A897)</f>
        <v/>
      </c>
      <c r="B897" s="5">
        <f>Raw_Data!B897</f>
        <v/>
      </c>
      <c r="C897" s="4">
        <f>TRIM(Raw_Data!C897)</f>
        <v/>
      </c>
      <c r="D897" s="4">
        <f>PROPER(TRIM(Raw_Data!D897))</f>
        <v/>
      </c>
      <c r="E897" s="4">
        <f>Raw_Data!E897</f>
        <v/>
      </c>
      <c r="F897" s="6">
        <f>ROUND(Raw_Data!F897,2)</f>
        <v/>
      </c>
      <c r="G897" s="4">
        <f>PROPER(TRIM(Raw_Data!G897))</f>
        <v/>
      </c>
      <c r="H897" s="4">
        <f>PROPER(TRIM(Raw_Data!H897))</f>
        <v/>
      </c>
      <c r="I897" s="4">
        <f>PROPER(TRIM(Raw_Data!I897))</f>
        <v/>
      </c>
      <c r="J897" s="4">
        <f>TRIM(Raw_Data!J897)</f>
        <v/>
      </c>
      <c r="K897" s="4">
        <f>Raw_Data!K897</f>
        <v/>
      </c>
      <c r="L897" s="4">
        <f>IF(TRIM(Raw_Data!L897)="","No Coupon",TRIM(Raw_Data!L897))</f>
        <v/>
      </c>
      <c r="M897" s="4">
        <f>PROPER(TRIM(Raw_Data!M897))</f>
        <v/>
      </c>
      <c r="N897" s="6">
        <f>ROUND(Raw_Data!N897,2)</f>
        <v/>
      </c>
      <c r="O897" s="7">
        <f>IF(COUNTIF($A$2:$A$1201,A897)&gt;1,"DUPLICATE","Unique")</f>
        <v/>
      </c>
      <c r="P897" s="7">
        <f>IF(COUNTIF($J$2:$J$1201,J897)&gt;1,"DUPLICATE","Unique")</f>
        <v/>
      </c>
      <c r="Q897" s="4">
        <f>IF(TRIM(Raw_Data!L897)="","Yes","No")</f>
        <v/>
      </c>
      <c r="R897" s="4">
        <f>IF(ISNUMBER(B897),"Valid","INVALID")</f>
        <v/>
      </c>
    </row>
    <row r="898">
      <c r="A898" s="4">
        <f>TRIM(Raw_Data!A898)</f>
        <v/>
      </c>
      <c r="B898" s="5">
        <f>Raw_Data!B898</f>
        <v/>
      </c>
      <c r="C898" s="4">
        <f>TRIM(Raw_Data!C898)</f>
        <v/>
      </c>
      <c r="D898" s="4">
        <f>PROPER(TRIM(Raw_Data!D898))</f>
        <v/>
      </c>
      <c r="E898" s="4">
        <f>Raw_Data!E898</f>
        <v/>
      </c>
      <c r="F898" s="6">
        <f>ROUND(Raw_Data!F898,2)</f>
        <v/>
      </c>
      <c r="G898" s="4">
        <f>PROPER(TRIM(Raw_Data!G898))</f>
        <v/>
      </c>
      <c r="H898" s="4">
        <f>PROPER(TRIM(Raw_Data!H898))</f>
        <v/>
      </c>
      <c r="I898" s="4">
        <f>PROPER(TRIM(Raw_Data!I898))</f>
        <v/>
      </c>
      <c r="J898" s="4">
        <f>TRIM(Raw_Data!J898)</f>
        <v/>
      </c>
      <c r="K898" s="4">
        <f>Raw_Data!K898</f>
        <v/>
      </c>
      <c r="L898" s="4">
        <f>IF(TRIM(Raw_Data!L898)="","No Coupon",TRIM(Raw_Data!L898))</f>
        <v/>
      </c>
      <c r="M898" s="4">
        <f>PROPER(TRIM(Raw_Data!M898))</f>
        <v/>
      </c>
      <c r="N898" s="6">
        <f>ROUND(Raw_Data!N898,2)</f>
        <v/>
      </c>
      <c r="O898" s="7">
        <f>IF(COUNTIF($A$2:$A$1201,A898)&gt;1,"DUPLICATE","Unique")</f>
        <v/>
      </c>
      <c r="P898" s="7">
        <f>IF(COUNTIF($J$2:$J$1201,J898)&gt;1,"DUPLICATE","Unique")</f>
        <v/>
      </c>
      <c r="Q898" s="4">
        <f>IF(TRIM(Raw_Data!L898)="","Yes","No")</f>
        <v/>
      </c>
      <c r="R898" s="4">
        <f>IF(ISNUMBER(B898),"Valid","INVALID")</f>
        <v/>
      </c>
    </row>
    <row r="899">
      <c r="A899" s="4">
        <f>TRIM(Raw_Data!A899)</f>
        <v/>
      </c>
      <c r="B899" s="5">
        <f>Raw_Data!B899</f>
        <v/>
      </c>
      <c r="C899" s="4">
        <f>TRIM(Raw_Data!C899)</f>
        <v/>
      </c>
      <c r="D899" s="4">
        <f>PROPER(TRIM(Raw_Data!D899))</f>
        <v/>
      </c>
      <c r="E899" s="4">
        <f>Raw_Data!E899</f>
        <v/>
      </c>
      <c r="F899" s="6">
        <f>ROUND(Raw_Data!F899,2)</f>
        <v/>
      </c>
      <c r="G899" s="4">
        <f>PROPER(TRIM(Raw_Data!G899))</f>
        <v/>
      </c>
      <c r="H899" s="4">
        <f>PROPER(TRIM(Raw_Data!H899))</f>
        <v/>
      </c>
      <c r="I899" s="4">
        <f>PROPER(TRIM(Raw_Data!I899))</f>
        <v/>
      </c>
      <c r="J899" s="4">
        <f>TRIM(Raw_Data!J899)</f>
        <v/>
      </c>
      <c r="K899" s="4">
        <f>Raw_Data!K899</f>
        <v/>
      </c>
      <c r="L899" s="4">
        <f>IF(TRIM(Raw_Data!L899)="","No Coupon",TRIM(Raw_Data!L899))</f>
        <v/>
      </c>
      <c r="M899" s="4">
        <f>PROPER(TRIM(Raw_Data!M899))</f>
        <v/>
      </c>
      <c r="N899" s="6">
        <f>ROUND(Raw_Data!N899,2)</f>
        <v/>
      </c>
      <c r="O899" s="7">
        <f>IF(COUNTIF($A$2:$A$1201,A899)&gt;1,"DUPLICATE","Unique")</f>
        <v/>
      </c>
      <c r="P899" s="7">
        <f>IF(COUNTIF($J$2:$J$1201,J899)&gt;1,"DUPLICATE","Unique")</f>
        <v/>
      </c>
      <c r="Q899" s="4">
        <f>IF(TRIM(Raw_Data!L899)="","Yes","No")</f>
        <v/>
      </c>
      <c r="R899" s="4">
        <f>IF(ISNUMBER(B899),"Valid","INVALID")</f>
        <v/>
      </c>
    </row>
    <row r="900">
      <c r="A900" s="4">
        <f>TRIM(Raw_Data!A900)</f>
        <v/>
      </c>
      <c r="B900" s="5">
        <f>Raw_Data!B900</f>
        <v/>
      </c>
      <c r="C900" s="4">
        <f>TRIM(Raw_Data!C900)</f>
        <v/>
      </c>
      <c r="D900" s="4">
        <f>PROPER(TRIM(Raw_Data!D900))</f>
        <v/>
      </c>
      <c r="E900" s="4">
        <f>Raw_Data!E900</f>
        <v/>
      </c>
      <c r="F900" s="6">
        <f>ROUND(Raw_Data!F900,2)</f>
        <v/>
      </c>
      <c r="G900" s="4">
        <f>PROPER(TRIM(Raw_Data!G900))</f>
        <v/>
      </c>
      <c r="H900" s="4">
        <f>PROPER(TRIM(Raw_Data!H900))</f>
        <v/>
      </c>
      <c r="I900" s="4">
        <f>PROPER(TRIM(Raw_Data!I900))</f>
        <v/>
      </c>
      <c r="J900" s="4">
        <f>TRIM(Raw_Data!J900)</f>
        <v/>
      </c>
      <c r="K900" s="4">
        <f>Raw_Data!K900</f>
        <v/>
      </c>
      <c r="L900" s="4">
        <f>IF(TRIM(Raw_Data!L900)="","No Coupon",TRIM(Raw_Data!L900))</f>
        <v/>
      </c>
      <c r="M900" s="4">
        <f>PROPER(TRIM(Raw_Data!M900))</f>
        <v/>
      </c>
      <c r="N900" s="6">
        <f>ROUND(Raw_Data!N900,2)</f>
        <v/>
      </c>
      <c r="O900" s="7">
        <f>IF(COUNTIF($A$2:$A$1201,A900)&gt;1,"DUPLICATE","Unique")</f>
        <v/>
      </c>
      <c r="P900" s="7">
        <f>IF(COUNTIF($J$2:$J$1201,J900)&gt;1,"DUPLICATE","Unique")</f>
        <v/>
      </c>
      <c r="Q900" s="4">
        <f>IF(TRIM(Raw_Data!L900)="","Yes","No")</f>
        <v/>
      </c>
      <c r="R900" s="4">
        <f>IF(ISNUMBER(B900),"Valid","INVALID")</f>
        <v/>
      </c>
    </row>
    <row r="901">
      <c r="A901" s="4">
        <f>TRIM(Raw_Data!A901)</f>
        <v/>
      </c>
      <c r="B901" s="5">
        <f>Raw_Data!B901</f>
        <v/>
      </c>
      <c r="C901" s="4">
        <f>TRIM(Raw_Data!C901)</f>
        <v/>
      </c>
      <c r="D901" s="4">
        <f>PROPER(TRIM(Raw_Data!D901))</f>
        <v/>
      </c>
      <c r="E901" s="4">
        <f>Raw_Data!E901</f>
        <v/>
      </c>
      <c r="F901" s="6">
        <f>ROUND(Raw_Data!F901,2)</f>
        <v/>
      </c>
      <c r="G901" s="4">
        <f>PROPER(TRIM(Raw_Data!G901))</f>
        <v/>
      </c>
      <c r="H901" s="4">
        <f>PROPER(TRIM(Raw_Data!H901))</f>
        <v/>
      </c>
      <c r="I901" s="4">
        <f>PROPER(TRIM(Raw_Data!I901))</f>
        <v/>
      </c>
      <c r="J901" s="4">
        <f>TRIM(Raw_Data!J901)</f>
        <v/>
      </c>
      <c r="K901" s="4">
        <f>Raw_Data!K901</f>
        <v/>
      </c>
      <c r="L901" s="4">
        <f>IF(TRIM(Raw_Data!L901)="","No Coupon",TRIM(Raw_Data!L901))</f>
        <v/>
      </c>
      <c r="M901" s="4">
        <f>PROPER(TRIM(Raw_Data!M901))</f>
        <v/>
      </c>
      <c r="N901" s="6">
        <f>ROUND(Raw_Data!N901,2)</f>
        <v/>
      </c>
      <c r="O901" s="7">
        <f>IF(COUNTIF($A$2:$A$1201,A901)&gt;1,"DUPLICATE","Unique")</f>
        <v/>
      </c>
      <c r="P901" s="7">
        <f>IF(COUNTIF($J$2:$J$1201,J901)&gt;1,"DUPLICATE","Unique")</f>
        <v/>
      </c>
      <c r="Q901" s="4">
        <f>IF(TRIM(Raw_Data!L901)="","Yes","No")</f>
        <v/>
      </c>
      <c r="R901" s="4">
        <f>IF(ISNUMBER(B901),"Valid","INVALID")</f>
        <v/>
      </c>
    </row>
    <row r="902">
      <c r="A902" s="4">
        <f>TRIM(Raw_Data!A902)</f>
        <v/>
      </c>
      <c r="B902" s="5">
        <f>Raw_Data!B902</f>
        <v/>
      </c>
      <c r="C902" s="4">
        <f>TRIM(Raw_Data!C902)</f>
        <v/>
      </c>
      <c r="D902" s="4">
        <f>PROPER(TRIM(Raw_Data!D902))</f>
        <v/>
      </c>
      <c r="E902" s="4">
        <f>Raw_Data!E902</f>
        <v/>
      </c>
      <c r="F902" s="6">
        <f>ROUND(Raw_Data!F902,2)</f>
        <v/>
      </c>
      <c r="G902" s="4">
        <f>PROPER(TRIM(Raw_Data!G902))</f>
        <v/>
      </c>
      <c r="H902" s="4">
        <f>PROPER(TRIM(Raw_Data!H902))</f>
        <v/>
      </c>
      <c r="I902" s="4">
        <f>PROPER(TRIM(Raw_Data!I902))</f>
        <v/>
      </c>
      <c r="J902" s="4">
        <f>TRIM(Raw_Data!J902)</f>
        <v/>
      </c>
      <c r="K902" s="4">
        <f>Raw_Data!K902</f>
        <v/>
      </c>
      <c r="L902" s="4">
        <f>IF(TRIM(Raw_Data!L902)="","No Coupon",TRIM(Raw_Data!L902))</f>
        <v/>
      </c>
      <c r="M902" s="4">
        <f>PROPER(TRIM(Raw_Data!M902))</f>
        <v/>
      </c>
      <c r="N902" s="6">
        <f>ROUND(Raw_Data!N902,2)</f>
        <v/>
      </c>
      <c r="O902" s="7">
        <f>IF(COUNTIF($A$2:$A$1201,A902)&gt;1,"DUPLICATE","Unique")</f>
        <v/>
      </c>
      <c r="P902" s="7">
        <f>IF(COUNTIF($J$2:$J$1201,J902)&gt;1,"DUPLICATE","Unique")</f>
        <v/>
      </c>
      <c r="Q902" s="4">
        <f>IF(TRIM(Raw_Data!L902)="","Yes","No")</f>
        <v/>
      </c>
      <c r="R902" s="4">
        <f>IF(ISNUMBER(B902),"Valid","INVALID")</f>
        <v/>
      </c>
    </row>
    <row r="903">
      <c r="A903" s="4">
        <f>TRIM(Raw_Data!A903)</f>
        <v/>
      </c>
      <c r="B903" s="5">
        <f>Raw_Data!B903</f>
        <v/>
      </c>
      <c r="C903" s="4">
        <f>TRIM(Raw_Data!C903)</f>
        <v/>
      </c>
      <c r="D903" s="4">
        <f>PROPER(TRIM(Raw_Data!D903))</f>
        <v/>
      </c>
      <c r="E903" s="4">
        <f>Raw_Data!E903</f>
        <v/>
      </c>
      <c r="F903" s="6">
        <f>ROUND(Raw_Data!F903,2)</f>
        <v/>
      </c>
      <c r="G903" s="4">
        <f>PROPER(TRIM(Raw_Data!G903))</f>
        <v/>
      </c>
      <c r="H903" s="4">
        <f>PROPER(TRIM(Raw_Data!H903))</f>
        <v/>
      </c>
      <c r="I903" s="4">
        <f>PROPER(TRIM(Raw_Data!I903))</f>
        <v/>
      </c>
      <c r="J903" s="4">
        <f>TRIM(Raw_Data!J903)</f>
        <v/>
      </c>
      <c r="K903" s="4">
        <f>Raw_Data!K903</f>
        <v/>
      </c>
      <c r="L903" s="4">
        <f>IF(TRIM(Raw_Data!L903)="","No Coupon",TRIM(Raw_Data!L903))</f>
        <v/>
      </c>
      <c r="M903" s="4">
        <f>PROPER(TRIM(Raw_Data!M903))</f>
        <v/>
      </c>
      <c r="N903" s="6">
        <f>ROUND(Raw_Data!N903,2)</f>
        <v/>
      </c>
      <c r="O903" s="7">
        <f>IF(COUNTIF($A$2:$A$1201,A903)&gt;1,"DUPLICATE","Unique")</f>
        <v/>
      </c>
      <c r="P903" s="7">
        <f>IF(COUNTIF($J$2:$J$1201,J903)&gt;1,"DUPLICATE","Unique")</f>
        <v/>
      </c>
      <c r="Q903" s="4">
        <f>IF(TRIM(Raw_Data!L903)="","Yes","No")</f>
        <v/>
      </c>
      <c r="R903" s="4">
        <f>IF(ISNUMBER(B903),"Valid","INVALID")</f>
        <v/>
      </c>
    </row>
    <row r="904">
      <c r="A904" s="4">
        <f>TRIM(Raw_Data!A904)</f>
        <v/>
      </c>
      <c r="B904" s="5">
        <f>Raw_Data!B904</f>
        <v/>
      </c>
      <c r="C904" s="4">
        <f>TRIM(Raw_Data!C904)</f>
        <v/>
      </c>
      <c r="D904" s="4">
        <f>PROPER(TRIM(Raw_Data!D904))</f>
        <v/>
      </c>
      <c r="E904" s="4">
        <f>Raw_Data!E904</f>
        <v/>
      </c>
      <c r="F904" s="6">
        <f>ROUND(Raw_Data!F904,2)</f>
        <v/>
      </c>
      <c r="G904" s="4">
        <f>PROPER(TRIM(Raw_Data!G904))</f>
        <v/>
      </c>
      <c r="H904" s="4">
        <f>PROPER(TRIM(Raw_Data!H904))</f>
        <v/>
      </c>
      <c r="I904" s="4">
        <f>PROPER(TRIM(Raw_Data!I904))</f>
        <v/>
      </c>
      <c r="J904" s="4">
        <f>TRIM(Raw_Data!J904)</f>
        <v/>
      </c>
      <c r="K904" s="4">
        <f>Raw_Data!K904</f>
        <v/>
      </c>
      <c r="L904" s="4">
        <f>IF(TRIM(Raw_Data!L904)="","No Coupon",TRIM(Raw_Data!L904))</f>
        <v/>
      </c>
      <c r="M904" s="4">
        <f>PROPER(TRIM(Raw_Data!M904))</f>
        <v/>
      </c>
      <c r="N904" s="6">
        <f>ROUND(Raw_Data!N904,2)</f>
        <v/>
      </c>
      <c r="O904" s="7">
        <f>IF(COUNTIF($A$2:$A$1201,A904)&gt;1,"DUPLICATE","Unique")</f>
        <v/>
      </c>
      <c r="P904" s="7">
        <f>IF(COUNTIF($J$2:$J$1201,J904)&gt;1,"DUPLICATE","Unique")</f>
        <v/>
      </c>
      <c r="Q904" s="4">
        <f>IF(TRIM(Raw_Data!L904)="","Yes","No")</f>
        <v/>
      </c>
      <c r="R904" s="4">
        <f>IF(ISNUMBER(B904),"Valid","INVALID")</f>
        <v/>
      </c>
    </row>
    <row r="905">
      <c r="A905" s="4">
        <f>TRIM(Raw_Data!A905)</f>
        <v/>
      </c>
      <c r="B905" s="5">
        <f>Raw_Data!B905</f>
        <v/>
      </c>
      <c r="C905" s="4">
        <f>TRIM(Raw_Data!C905)</f>
        <v/>
      </c>
      <c r="D905" s="4">
        <f>PROPER(TRIM(Raw_Data!D905))</f>
        <v/>
      </c>
      <c r="E905" s="4">
        <f>Raw_Data!E905</f>
        <v/>
      </c>
      <c r="F905" s="6">
        <f>ROUND(Raw_Data!F905,2)</f>
        <v/>
      </c>
      <c r="G905" s="4">
        <f>PROPER(TRIM(Raw_Data!G905))</f>
        <v/>
      </c>
      <c r="H905" s="4">
        <f>PROPER(TRIM(Raw_Data!H905))</f>
        <v/>
      </c>
      <c r="I905" s="4">
        <f>PROPER(TRIM(Raw_Data!I905))</f>
        <v/>
      </c>
      <c r="J905" s="4">
        <f>TRIM(Raw_Data!J905)</f>
        <v/>
      </c>
      <c r="K905" s="4">
        <f>Raw_Data!K905</f>
        <v/>
      </c>
      <c r="L905" s="4">
        <f>IF(TRIM(Raw_Data!L905)="","No Coupon",TRIM(Raw_Data!L905))</f>
        <v/>
      </c>
      <c r="M905" s="4">
        <f>PROPER(TRIM(Raw_Data!M905))</f>
        <v/>
      </c>
      <c r="N905" s="6">
        <f>ROUND(Raw_Data!N905,2)</f>
        <v/>
      </c>
      <c r="O905" s="7">
        <f>IF(COUNTIF($A$2:$A$1201,A905)&gt;1,"DUPLICATE","Unique")</f>
        <v/>
      </c>
      <c r="P905" s="7">
        <f>IF(COUNTIF($J$2:$J$1201,J905)&gt;1,"DUPLICATE","Unique")</f>
        <v/>
      </c>
      <c r="Q905" s="4">
        <f>IF(TRIM(Raw_Data!L905)="","Yes","No")</f>
        <v/>
      </c>
      <c r="R905" s="4">
        <f>IF(ISNUMBER(B905),"Valid","INVALID")</f>
        <v/>
      </c>
    </row>
    <row r="906">
      <c r="A906" s="4">
        <f>TRIM(Raw_Data!A906)</f>
        <v/>
      </c>
      <c r="B906" s="5">
        <f>Raw_Data!B906</f>
        <v/>
      </c>
      <c r="C906" s="4">
        <f>TRIM(Raw_Data!C906)</f>
        <v/>
      </c>
      <c r="D906" s="4">
        <f>PROPER(TRIM(Raw_Data!D906))</f>
        <v/>
      </c>
      <c r="E906" s="4">
        <f>Raw_Data!E906</f>
        <v/>
      </c>
      <c r="F906" s="6">
        <f>ROUND(Raw_Data!F906,2)</f>
        <v/>
      </c>
      <c r="G906" s="4">
        <f>PROPER(TRIM(Raw_Data!G906))</f>
        <v/>
      </c>
      <c r="H906" s="4">
        <f>PROPER(TRIM(Raw_Data!H906))</f>
        <v/>
      </c>
      <c r="I906" s="4">
        <f>PROPER(TRIM(Raw_Data!I906))</f>
        <v/>
      </c>
      <c r="J906" s="4">
        <f>TRIM(Raw_Data!J906)</f>
        <v/>
      </c>
      <c r="K906" s="4">
        <f>Raw_Data!K906</f>
        <v/>
      </c>
      <c r="L906" s="4">
        <f>IF(TRIM(Raw_Data!L906)="","No Coupon",TRIM(Raw_Data!L906))</f>
        <v/>
      </c>
      <c r="M906" s="4">
        <f>PROPER(TRIM(Raw_Data!M906))</f>
        <v/>
      </c>
      <c r="N906" s="6">
        <f>ROUND(Raw_Data!N906,2)</f>
        <v/>
      </c>
      <c r="O906" s="7">
        <f>IF(COUNTIF($A$2:$A$1201,A906)&gt;1,"DUPLICATE","Unique")</f>
        <v/>
      </c>
      <c r="P906" s="7">
        <f>IF(COUNTIF($J$2:$J$1201,J906)&gt;1,"DUPLICATE","Unique")</f>
        <v/>
      </c>
      <c r="Q906" s="4">
        <f>IF(TRIM(Raw_Data!L906)="","Yes","No")</f>
        <v/>
      </c>
      <c r="R906" s="4">
        <f>IF(ISNUMBER(B906),"Valid","INVALID")</f>
        <v/>
      </c>
    </row>
    <row r="907">
      <c r="A907" s="4">
        <f>TRIM(Raw_Data!A907)</f>
        <v/>
      </c>
      <c r="B907" s="5">
        <f>Raw_Data!B907</f>
        <v/>
      </c>
      <c r="C907" s="4">
        <f>TRIM(Raw_Data!C907)</f>
        <v/>
      </c>
      <c r="D907" s="4">
        <f>PROPER(TRIM(Raw_Data!D907))</f>
        <v/>
      </c>
      <c r="E907" s="4">
        <f>Raw_Data!E907</f>
        <v/>
      </c>
      <c r="F907" s="6">
        <f>ROUND(Raw_Data!F907,2)</f>
        <v/>
      </c>
      <c r="G907" s="4">
        <f>PROPER(TRIM(Raw_Data!G907))</f>
        <v/>
      </c>
      <c r="H907" s="4">
        <f>PROPER(TRIM(Raw_Data!H907))</f>
        <v/>
      </c>
      <c r="I907" s="4">
        <f>PROPER(TRIM(Raw_Data!I907))</f>
        <v/>
      </c>
      <c r="J907" s="4">
        <f>TRIM(Raw_Data!J907)</f>
        <v/>
      </c>
      <c r="K907" s="4">
        <f>Raw_Data!K907</f>
        <v/>
      </c>
      <c r="L907" s="4">
        <f>IF(TRIM(Raw_Data!L907)="","No Coupon",TRIM(Raw_Data!L907))</f>
        <v/>
      </c>
      <c r="M907" s="4">
        <f>PROPER(TRIM(Raw_Data!M907))</f>
        <v/>
      </c>
      <c r="N907" s="6">
        <f>ROUND(Raw_Data!N907,2)</f>
        <v/>
      </c>
      <c r="O907" s="7">
        <f>IF(COUNTIF($A$2:$A$1201,A907)&gt;1,"DUPLICATE","Unique")</f>
        <v/>
      </c>
      <c r="P907" s="7">
        <f>IF(COUNTIF($J$2:$J$1201,J907)&gt;1,"DUPLICATE","Unique")</f>
        <v/>
      </c>
      <c r="Q907" s="4">
        <f>IF(TRIM(Raw_Data!L907)="","Yes","No")</f>
        <v/>
      </c>
      <c r="R907" s="4">
        <f>IF(ISNUMBER(B907),"Valid","INVALID")</f>
        <v/>
      </c>
    </row>
    <row r="908">
      <c r="A908" s="4">
        <f>TRIM(Raw_Data!A908)</f>
        <v/>
      </c>
      <c r="B908" s="5">
        <f>Raw_Data!B908</f>
        <v/>
      </c>
      <c r="C908" s="4">
        <f>TRIM(Raw_Data!C908)</f>
        <v/>
      </c>
      <c r="D908" s="4">
        <f>PROPER(TRIM(Raw_Data!D908))</f>
        <v/>
      </c>
      <c r="E908" s="4">
        <f>Raw_Data!E908</f>
        <v/>
      </c>
      <c r="F908" s="6">
        <f>ROUND(Raw_Data!F908,2)</f>
        <v/>
      </c>
      <c r="G908" s="4">
        <f>PROPER(TRIM(Raw_Data!G908))</f>
        <v/>
      </c>
      <c r="H908" s="4">
        <f>PROPER(TRIM(Raw_Data!H908))</f>
        <v/>
      </c>
      <c r="I908" s="4">
        <f>PROPER(TRIM(Raw_Data!I908))</f>
        <v/>
      </c>
      <c r="J908" s="4">
        <f>TRIM(Raw_Data!J908)</f>
        <v/>
      </c>
      <c r="K908" s="4">
        <f>Raw_Data!K908</f>
        <v/>
      </c>
      <c r="L908" s="4">
        <f>IF(TRIM(Raw_Data!L908)="","No Coupon",TRIM(Raw_Data!L908))</f>
        <v/>
      </c>
      <c r="M908" s="4">
        <f>PROPER(TRIM(Raw_Data!M908))</f>
        <v/>
      </c>
      <c r="N908" s="6">
        <f>ROUND(Raw_Data!N908,2)</f>
        <v/>
      </c>
      <c r="O908" s="7">
        <f>IF(COUNTIF($A$2:$A$1201,A908)&gt;1,"DUPLICATE","Unique")</f>
        <v/>
      </c>
      <c r="P908" s="7">
        <f>IF(COUNTIF($J$2:$J$1201,J908)&gt;1,"DUPLICATE","Unique")</f>
        <v/>
      </c>
      <c r="Q908" s="4">
        <f>IF(TRIM(Raw_Data!L908)="","Yes","No")</f>
        <v/>
      </c>
      <c r="R908" s="4">
        <f>IF(ISNUMBER(B908),"Valid","INVALID")</f>
        <v/>
      </c>
    </row>
    <row r="909">
      <c r="A909" s="4">
        <f>TRIM(Raw_Data!A909)</f>
        <v/>
      </c>
      <c r="B909" s="5">
        <f>Raw_Data!B909</f>
        <v/>
      </c>
      <c r="C909" s="4">
        <f>TRIM(Raw_Data!C909)</f>
        <v/>
      </c>
      <c r="D909" s="4">
        <f>PROPER(TRIM(Raw_Data!D909))</f>
        <v/>
      </c>
      <c r="E909" s="4">
        <f>Raw_Data!E909</f>
        <v/>
      </c>
      <c r="F909" s="6">
        <f>ROUND(Raw_Data!F909,2)</f>
        <v/>
      </c>
      <c r="G909" s="4">
        <f>PROPER(TRIM(Raw_Data!G909))</f>
        <v/>
      </c>
      <c r="H909" s="4">
        <f>PROPER(TRIM(Raw_Data!H909))</f>
        <v/>
      </c>
      <c r="I909" s="4">
        <f>PROPER(TRIM(Raw_Data!I909))</f>
        <v/>
      </c>
      <c r="J909" s="4">
        <f>TRIM(Raw_Data!J909)</f>
        <v/>
      </c>
      <c r="K909" s="4">
        <f>Raw_Data!K909</f>
        <v/>
      </c>
      <c r="L909" s="4">
        <f>IF(TRIM(Raw_Data!L909)="","No Coupon",TRIM(Raw_Data!L909))</f>
        <v/>
      </c>
      <c r="M909" s="4">
        <f>PROPER(TRIM(Raw_Data!M909))</f>
        <v/>
      </c>
      <c r="N909" s="6">
        <f>ROUND(Raw_Data!N909,2)</f>
        <v/>
      </c>
      <c r="O909" s="7">
        <f>IF(COUNTIF($A$2:$A$1201,A909)&gt;1,"DUPLICATE","Unique")</f>
        <v/>
      </c>
      <c r="P909" s="7">
        <f>IF(COUNTIF($J$2:$J$1201,J909)&gt;1,"DUPLICATE","Unique")</f>
        <v/>
      </c>
      <c r="Q909" s="4">
        <f>IF(TRIM(Raw_Data!L909)="","Yes","No")</f>
        <v/>
      </c>
      <c r="R909" s="4">
        <f>IF(ISNUMBER(B909),"Valid","INVALID")</f>
        <v/>
      </c>
    </row>
    <row r="910">
      <c r="A910" s="4">
        <f>TRIM(Raw_Data!A910)</f>
        <v/>
      </c>
      <c r="B910" s="5">
        <f>Raw_Data!B910</f>
        <v/>
      </c>
      <c r="C910" s="4">
        <f>TRIM(Raw_Data!C910)</f>
        <v/>
      </c>
      <c r="D910" s="4">
        <f>PROPER(TRIM(Raw_Data!D910))</f>
        <v/>
      </c>
      <c r="E910" s="4">
        <f>Raw_Data!E910</f>
        <v/>
      </c>
      <c r="F910" s="6">
        <f>ROUND(Raw_Data!F910,2)</f>
        <v/>
      </c>
      <c r="G910" s="4">
        <f>PROPER(TRIM(Raw_Data!G910))</f>
        <v/>
      </c>
      <c r="H910" s="4">
        <f>PROPER(TRIM(Raw_Data!H910))</f>
        <v/>
      </c>
      <c r="I910" s="4">
        <f>PROPER(TRIM(Raw_Data!I910))</f>
        <v/>
      </c>
      <c r="J910" s="4">
        <f>TRIM(Raw_Data!J910)</f>
        <v/>
      </c>
      <c r="K910" s="4">
        <f>Raw_Data!K910</f>
        <v/>
      </c>
      <c r="L910" s="4">
        <f>IF(TRIM(Raw_Data!L910)="","No Coupon",TRIM(Raw_Data!L910))</f>
        <v/>
      </c>
      <c r="M910" s="4">
        <f>PROPER(TRIM(Raw_Data!M910))</f>
        <v/>
      </c>
      <c r="N910" s="6">
        <f>ROUND(Raw_Data!N910,2)</f>
        <v/>
      </c>
      <c r="O910" s="7">
        <f>IF(COUNTIF($A$2:$A$1201,A910)&gt;1,"DUPLICATE","Unique")</f>
        <v/>
      </c>
      <c r="P910" s="7">
        <f>IF(COUNTIF($J$2:$J$1201,J910)&gt;1,"DUPLICATE","Unique")</f>
        <v/>
      </c>
      <c r="Q910" s="4">
        <f>IF(TRIM(Raw_Data!L910)="","Yes","No")</f>
        <v/>
      </c>
      <c r="R910" s="4">
        <f>IF(ISNUMBER(B910),"Valid","INVALID")</f>
        <v/>
      </c>
    </row>
    <row r="911">
      <c r="A911" s="4">
        <f>TRIM(Raw_Data!A911)</f>
        <v/>
      </c>
      <c r="B911" s="5">
        <f>Raw_Data!B911</f>
        <v/>
      </c>
      <c r="C911" s="4">
        <f>TRIM(Raw_Data!C911)</f>
        <v/>
      </c>
      <c r="D911" s="4">
        <f>PROPER(TRIM(Raw_Data!D911))</f>
        <v/>
      </c>
      <c r="E911" s="4">
        <f>Raw_Data!E911</f>
        <v/>
      </c>
      <c r="F911" s="6">
        <f>ROUND(Raw_Data!F911,2)</f>
        <v/>
      </c>
      <c r="G911" s="4">
        <f>PROPER(TRIM(Raw_Data!G911))</f>
        <v/>
      </c>
      <c r="H911" s="4">
        <f>PROPER(TRIM(Raw_Data!H911))</f>
        <v/>
      </c>
      <c r="I911" s="4">
        <f>PROPER(TRIM(Raw_Data!I911))</f>
        <v/>
      </c>
      <c r="J911" s="4">
        <f>TRIM(Raw_Data!J911)</f>
        <v/>
      </c>
      <c r="K911" s="4">
        <f>Raw_Data!K911</f>
        <v/>
      </c>
      <c r="L911" s="4">
        <f>IF(TRIM(Raw_Data!L911)="","No Coupon",TRIM(Raw_Data!L911))</f>
        <v/>
      </c>
      <c r="M911" s="4">
        <f>PROPER(TRIM(Raw_Data!M911))</f>
        <v/>
      </c>
      <c r="N911" s="6">
        <f>ROUND(Raw_Data!N911,2)</f>
        <v/>
      </c>
      <c r="O911" s="7">
        <f>IF(COUNTIF($A$2:$A$1201,A911)&gt;1,"DUPLICATE","Unique")</f>
        <v/>
      </c>
      <c r="P911" s="7">
        <f>IF(COUNTIF($J$2:$J$1201,J911)&gt;1,"DUPLICATE","Unique")</f>
        <v/>
      </c>
      <c r="Q911" s="4">
        <f>IF(TRIM(Raw_Data!L911)="","Yes","No")</f>
        <v/>
      </c>
      <c r="R911" s="4">
        <f>IF(ISNUMBER(B911),"Valid","INVALID")</f>
        <v/>
      </c>
    </row>
    <row r="912">
      <c r="A912" s="4">
        <f>TRIM(Raw_Data!A912)</f>
        <v/>
      </c>
      <c r="B912" s="5">
        <f>Raw_Data!B912</f>
        <v/>
      </c>
      <c r="C912" s="4">
        <f>TRIM(Raw_Data!C912)</f>
        <v/>
      </c>
      <c r="D912" s="4">
        <f>PROPER(TRIM(Raw_Data!D912))</f>
        <v/>
      </c>
      <c r="E912" s="4">
        <f>Raw_Data!E912</f>
        <v/>
      </c>
      <c r="F912" s="6">
        <f>ROUND(Raw_Data!F912,2)</f>
        <v/>
      </c>
      <c r="G912" s="4">
        <f>PROPER(TRIM(Raw_Data!G912))</f>
        <v/>
      </c>
      <c r="H912" s="4">
        <f>PROPER(TRIM(Raw_Data!H912))</f>
        <v/>
      </c>
      <c r="I912" s="4">
        <f>PROPER(TRIM(Raw_Data!I912))</f>
        <v/>
      </c>
      <c r="J912" s="4">
        <f>TRIM(Raw_Data!J912)</f>
        <v/>
      </c>
      <c r="K912" s="4">
        <f>Raw_Data!K912</f>
        <v/>
      </c>
      <c r="L912" s="4">
        <f>IF(TRIM(Raw_Data!L912)="","No Coupon",TRIM(Raw_Data!L912))</f>
        <v/>
      </c>
      <c r="M912" s="4">
        <f>PROPER(TRIM(Raw_Data!M912))</f>
        <v/>
      </c>
      <c r="N912" s="6">
        <f>ROUND(Raw_Data!N912,2)</f>
        <v/>
      </c>
      <c r="O912" s="7">
        <f>IF(COUNTIF($A$2:$A$1201,A912)&gt;1,"DUPLICATE","Unique")</f>
        <v/>
      </c>
      <c r="P912" s="7">
        <f>IF(COUNTIF($J$2:$J$1201,J912)&gt;1,"DUPLICATE","Unique")</f>
        <v/>
      </c>
      <c r="Q912" s="4">
        <f>IF(TRIM(Raw_Data!L912)="","Yes","No")</f>
        <v/>
      </c>
      <c r="R912" s="4">
        <f>IF(ISNUMBER(B912),"Valid","INVALID")</f>
        <v/>
      </c>
    </row>
    <row r="913">
      <c r="A913" s="4">
        <f>TRIM(Raw_Data!A913)</f>
        <v/>
      </c>
      <c r="B913" s="5">
        <f>Raw_Data!B913</f>
        <v/>
      </c>
      <c r="C913" s="4">
        <f>TRIM(Raw_Data!C913)</f>
        <v/>
      </c>
      <c r="D913" s="4">
        <f>PROPER(TRIM(Raw_Data!D913))</f>
        <v/>
      </c>
      <c r="E913" s="4">
        <f>Raw_Data!E913</f>
        <v/>
      </c>
      <c r="F913" s="6">
        <f>ROUND(Raw_Data!F913,2)</f>
        <v/>
      </c>
      <c r="G913" s="4">
        <f>PROPER(TRIM(Raw_Data!G913))</f>
        <v/>
      </c>
      <c r="H913" s="4">
        <f>PROPER(TRIM(Raw_Data!H913))</f>
        <v/>
      </c>
      <c r="I913" s="4">
        <f>PROPER(TRIM(Raw_Data!I913))</f>
        <v/>
      </c>
      <c r="J913" s="4">
        <f>TRIM(Raw_Data!J913)</f>
        <v/>
      </c>
      <c r="K913" s="4">
        <f>Raw_Data!K913</f>
        <v/>
      </c>
      <c r="L913" s="4">
        <f>IF(TRIM(Raw_Data!L913)="","No Coupon",TRIM(Raw_Data!L913))</f>
        <v/>
      </c>
      <c r="M913" s="4">
        <f>PROPER(TRIM(Raw_Data!M913))</f>
        <v/>
      </c>
      <c r="N913" s="6">
        <f>ROUND(Raw_Data!N913,2)</f>
        <v/>
      </c>
      <c r="O913" s="7">
        <f>IF(COUNTIF($A$2:$A$1201,A913)&gt;1,"DUPLICATE","Unique")</f>
        <v/>
      </c>
      <c r="P913" s="7">
        <f>IF(COUNTIF($J$2:$J$1201,J913)&gt;1,"DUPLICATE","Unique")</f>
        <v/>
      </c>
      <c r="Q913" s="4">
        <f>IF(TRIM(Raw_Data!L913)="","Yes","No")</f>
        <v/>
      </c>
      <c r="R913" s="4">
        <f>IF(ISNUMBER(B913),"Valid","INVALID")</f>
        <v/>
      </c>
    </row>
    <row r="914">
      <c r="A914" s="4">
        <f>TRIM(Raw_Data!A914)</f>
        <v/>
      </c>
      <c r="B914" s="5">
        <f>Raw_Data!B914</f>
        <v/>
      </c>
      <c r="C914" s="4">
        <f>TRIM(Raw_Data!C914)</f>
        <v/>
      </c>
      <c r="D914" s="4">
        <f>PROPER(TRIM(Raw_Data!D914))</f>
        <v/>
      </c>
      <c r="E914" s="4">
        <f>Raw_Data!E914</f>
        <v/>
      </c>
      <c r="F914" s="6">
        <f>ROUND(Raw_Data!F914,2)</f>
        <v/>
      </c>
      <c r="G914" s="4">
        <f>PROPER(TRIM(Raw_Data!G914))</f>
        <v/>
      </c>
      <c r="H914" s="4">
        <f>PROPER(TRIM(Raw_Data!H914))</f>
        <v/>
      </c>
      <c r="I914" s="4">
        <f>PROPER(TRIM(Raw_Data!I914))</f>
        <v/>
      </c>
      <c r="J914" s="4">
        <f>TRIM(Raw_Data!J914)</f>
        <v/>
      </c>
      <c r="K914" s="4">
        <f>Raw_Data!K914</f>
        <v/>
      </c>
      <c r="L914" s="4">
        <f>IF(TRIM(Raw_Data!L914)="","No Coupon",TRIM(Raw_Data!L914))</f>
        <v/>
      </c>
      <c r="M914" s="4">
        <f>PROPER(TRIM(Raw_Data!M914))</f>
        <v/>
      </c>
      <c r="N914" s="6">
        <f>ROUND(Raw_Data!N914,2)</f>
        <v/>
      </c>
      <c r="O914" s="7">
        <f>IF(COUNTIF($A$2:$A$1201,A914)&gt;1,"DUPLICATE","Unique")</f>
        <v/>
      </c>
      <c r="P914" s="7">
        <f>IF(COUNTIF($J$2:$J$1201,J914)&gt;1,"DUPLICATE","Unique")</f>
        <v/>
      </c>
      <c r="Q914" s="4">
        <f>IF(TRIM(Raw_Data!L914)="","Yes","No")</f>
        <v/>
      </c>
      <c r="R914" s="4">
        <f>IF(ISNUMBER(B914),"Valid","INVALID")</f>
        <v/>
      </c>
    </row>
    <row r="915">
      <c r="A915" s="4">
        <f>TRIM(Raw_Data!A915)</f>
        <v/>
      </c>
      <c r="B915" s="5">
        <f>Raw_Data!B915</f>
        <v/>
      </c>
      <c r="C915" s="4">
        <f>TRIM(Raw_Data!C915)</f>
        <v/>
      </c>
      <c r="D915" s="4">
        <f>PROPER(TRIM(Raw_Data!D915))</f>
        <v/>
      </c>
      <c r="E915" s="4">
        <f>Raw_Data!E915</f>
        <v/>
      </c>
      <c r="F915" s="6">
        <f>ROUND(Raw_Data!F915,2)</f>
        <v/>
      </c>
      <c r="G915" s="4">
        <f>PROPER(TRIM(Raw_Data!G915))</f>
        <v/>
      </c>
      <c r="H915" s="4">
        <f>PROPER(TRIM(Raw_Data!H915))</f>
        <v/>
      </c>
      <c r="I915" s="4">
        <f>PROPER(TRIM(Raw_Data!I915))</f>
        <v/>
      </c>
      <c r="J915" s="4">
        <f>TRIM(Raw_Data!J915)</f>
        <v/>
      </c>
      <c r="K915" s="4">
        <f>Raw_Data!K915</f>
        <v/>
      </c>
      <c r="L915" s="4">
        <f>IF(TRIM(Raw_Data!L915)="","No Coupon",TRIM(Raw_Data!L915))</f>
        <v/>
      </c>
      <c r="M915" s="4">
        <f>PROPER(TRIM(Raw_Data!M915))</f>
        <v/>
      </c>
      <c r="N915" s="6">
        <f>ROUND(Raw_Data!N915,2)</f>
        <v/>
      </c>
      <c r="O915" s="7">
        <f>IF(COUNTIF($A$2:$A$1201,A915)&gt;1,"DUPLICATE","Unique")</f>
        <v/>
      </c>
      <c r="P915" s="7">
        <f>IF(COUNTIF($J$2:$J$1201,J915)&gt;1,"DUPLICATE","Unique")</f>
        <v/>
      </c>
      <c r="Q915" s="4">
        <f>IF(TRIM(Raw_Data!L915)="","Yes","No")</f>
        <v/>
      </c>
      <c r="R915" s="4">
        <f>IF(ISNUMBER(B915),"Valid","INVALID")</f>
        <v/>
      </c>
    </row>
    <row r="916">
      <c r="A916" s="4">
        <f>TRIM(Raw_Data!A916)</f>
        <v/>
      </c>
      <c r="B916" s="5">
        <f>Raw_Data!B916</f>
        <v/>
      </c>
      <c r="C916" s="4">
        <f>TRIM(Raw_Data!C916)</f>
        <v/>
      </c>
      <c r="D916" s="4">
        <f>PROPER(TRIM(Raw_Data!D916))</f>
        <v/>
      </c>
      <c r="E916" s="4">
        <f>Raw_Data!E916</f>
        <v/>
      </c>
      <c r="F916" s="6">
        <f>ROUND(Raw_Data!F916,2)</f>
        <v/>
      </c>
      <c r="G916" s="4">
        <f>PROPER(TRIM(Raw_Data!G916))</f>
        <v/>
      </c>
      <c r="H916" s="4">
        <f>PROPER(TRIM(Raw_Data!H916))</f>
        <v/>
      </c>
      <c r="I916" s="4">
        <f>PROPER(TRIM(Raw_Data!I916))</f>
        <v/>
      </c>
      <c r="J916" s="4">
        <f>TRIM(Raw_Data!J916)</f>
        <v/>
      </c>
      <c r="K916" s="4">
        <f>Raw_Data!K916</f>
        <v/>
      </c>
      <c r="L916" s="4">
        <f>IF(TRIM(Raw_Data!L916)="","No Coupon",TRIM(Raw_Data!L916))</f>
        <v/>
      </c>
      <c r="M916" s="4">
        <f>PROPER(TRIM(Raw_Data!M916))</f>
        <v/>
      </c>
      <c r="N916" s="6">
        <f>ROUND(Raw_Data!N916,2)</f>
        <v/>
      </c>
      <c r="O916" s="7">
        <f>IF(COUNTIF($A$2:$A$1201,A916)&gt;1,"DUPLICATE","Unique")</f>
        <v/>
      </c>
      <c r="P916" s="7">
        <f>IF(COUNTIF($J$2:$J$1201,J916)&gt;1,"DUPLICATE","Unique")</f>
        <v/>
      </c>
      <c r="Q916" s="4">
        <f>IF(TRIM(Raw_Data!L916)="","Yes","No")</f>
        <v/>
      </c>
      <c r="R916" s="4">
        <f>IF(ISNUMBER(B916),"Valid","INVALID")</f>
        <v/>
      </c>
    </row>
    <row r="917">
      <c r="A917" s="4">
        <f>TRIM(Raw_Data!A917)</f>
        <v/>
      </c>
      <c r="B917" s="5">
        <f>Raw_Data!B917</f>
        <v/>
      </c>
      <c r="C917" s="4">
        <f>TRIM(Raw_Data!C917)</f>
        <v/>
      </c>
      <c r="D917" s="4">
        <f>PROPER(TRIM(Raw_Data!D917))</f>
        <v/>
      </c>
      <c r="E917" s="4">
        <f>Raw_Data!E917</f>
        <v/>
      </c>
      <c r="F917" s="6">
        <f>ROUND(Raw_Data!F917,2)</f>
        <v/>
      </c>
      <c r="G917" s="4">
        <f>PROPER(TRIM(Raw_Data!G917))</f>
        <v/>
      </c>
      <c r="H917" s="4">
        <f>PROPER(TRIM(Raw_Data!H917))</f>
        <v/>
      </c>
      <c r="I917" s="4">
        <f>PROPER(TRIM(Raw_Data!I917))</f>
        <v/>
      </c>
      <c r="J917" s="4">
        <f>TRIM(Raw_Data!J917)</f>
        <v/>
      </c>
      <c r="K917" s="4">
        <f>Raw_Data!K917</f>
        <v/>
      </c>
      <c r="L917" s="4">
        <f>IF(TRIM(Raw_Data!L917)="","No Coupon",TRIM(Raw_Data!L917))</f>
        <v/>
      </c>
      <c r="M917" s="4">
        <f>PROPER(TRIM(Raw_Data!M917))</f>
        <v/>
      </c>
      <c r="N917" s="6">
        <f>ROUND(Raw_Data!N917,2)</f>
        <v/>
      </c>
      <c r="O917" s="7">
        <f>IF(COUNTIF($A$2:$A$1201,A917)&gt;1,"DUPLICATE","Unique")</f>
        <v/>
      </c>
      <c r="P917" s="7">
        <f>IF(COUNTIF($J$2:$J$1201,J917)&gt;1,"DUPLICATE","Unique")</f>
        <v/>
      </c>
      <c r="Q917" s="4">
        <f>IF(TRIM(Raw_Data!L917)="","Yes","No")</f>
        <v/>
      </c>
      <c r="R917" s="4">
        <f>IF(ISNUMBER(B917),"Valid","INVALID")</f>
        <v/>
      </c>
    </row>
    <row r="918">
      <c r="A918" s="4">
        <f>TRIM(Raw_Data!A918)</f>
        <v/>
      </c>
      <c r="B918" s="5">
        <f>Raw_Data!B918</f>
        <v/>
      </c>
      <c r="C918" s="4">
        <f>TRIM(Raw_Data!C918)</f>
        <v/>
      </c>
      <c r="D918" s="4">
        <f>PROPER(TRIM(Raw_Data!D918))</f>
        <v/>
      </c>
      <c r="E918" s="4">
        <f>Raw_Data!E918</f>
        <v/>
      </c>
      <c r="F918" s="6">
        <f>ROUND(Raw_Data!F918,2)</f>
        <v/>
      </c>
      <c r="G918" s="4">
        <f>PROPER(TRIM(Raw_Data!G918))</f>
        <v/>
      </c>
      <c r="H918" s="4">
        <f>PROPER(TRIM(Raw_Data!H918))</f>
        <v/>
      </c>
      <c r="I918" s="4">
        <f>PROPER(TRIM(Raw_Data!I918))</f>
        <v/>
      </c>
      <c r="J918" s="4">
        <f>TRIM(Raw_Data!J918)</f>
        <v/>
      </c>
      <c r="K918" s="4">
        <f>Raw_Data!K918</f>
        <v/>
      </c>
      <c r="L918" s="4">
        <f>IF(TRIM(Raw_Data!L918)="","No Coupon",TRIM(Raw_Data!L918))</f>
        <v/>
      </c>
      <c r="M918" s="4">
        <f>PROPER(TRIM(Raw_Data!M918))</f>
        <v/>
      </c>
      <c r="N918" s="6">
        <f>ROUND(Raw_Data!N918,2)</f>
        <v/>
      </c>
      <c r="O918" s="7">
        <f>IF(COUNTIF($A$2:$A$1201,A918)&gt;1,"DUPLICATE","Unique")</f>
        <v/>
      </c>
      <c r="P918" s="7">
        <f>IF(COUNTIF($J$2:$J$1201,J918)&gt;1,"DUPLICATE","Unique")</f>
        <v/>
      </c>
      <c r="Q918" s="4">
        <f>IF(TRIM(Raw_Data!L918)="","Yes","No")</f>
        <v/>
      </c>
      <c r="R918" s="4">
        <f>IF(ISNUMBER(B918),"Valid","INVALID")</f>
        <v/>
      </c>
    </row>
    <row r="919">
      <c r="A919" s="4">
        <f>TRIM(Raw_Data!A919)</f>
        <v/>
      </c>
      <c r="B919" s="5">
        <f>Raw_Data!B919</f>
        <v/>
      </c>
      <c r="C919" s="4">
        <f>TRIM(Raw_Data!C919)</f>
        <v/>
      </c>
      <c r="D919" s="4">
        <f>PROPER(TRIM(Raw_Data!D919))</f>
        <v/>
      </c>
      <c r="E919" s="4">
        <f>Raw_Data!E919</f>
        <v/>
      </c>
      <c r="F919" s="6">
        <f>ROUND(Raw_Data!F919,2)</f>
        <v/>
      </c>
      <c r="G919" s="4">
        <f>PROPER(TRIM(Raw_Data!G919))</f>
        <v/>
      </c>
      <c r="H919" s="4">
        <f>PROPER(TRIM(Raw_Data!H919))</f>
        <v/>
      </c>
      <c r="I919" s="4">
        <f>PROPER(TRIM(Raw_Data!I919))</f>
        <v/>
      </c>
      <c r="J919" s="4">
        <f>TRIM(Raw_Data!J919)</f>
        <v/>
      </c>
      <c r="K919" s="4">
        <f>Raw_Data!K919</f>
        <v/>
      </c>
      <c r="L919" s="4">
        <f>IF(TRIM(Raw_Data!L919)="","No Coupon",TRIM(Raw_Data!L919))</f>
        <v/>
      </c>
      <c r="M919" s="4">
        <f>PROPER(TRIM(Raw_Data!M919))</f>
        <v/>
      </c>
      <c r="N919" s="6">
        <f>ROUND(Raw_Data!N919,2)</f>
        <v/>
      </c>
      <c r="O919" s="7">
        <f>IF(COUNTIF($A$2:$A$1201,A919)&gt;1,"DUPLICATE","Unique")</f>
        <v/>
      </c>
      <c r="P919" s="7">
        <f>IF(COUNTIF($J$2:$J$1201,J919)&gt;1,"DUPLICATE","Unique")</f>
        <v/>
      </c>
      <c r="Q919" s="4">
        <f>IF(TRIM(Raw_Data!L919)="","Yes","No")</f>
        <v/>
      </c>
      <c r="R919" s="4">
        <f>IF(ISNUMBER(B919),"Valid","INVALID")</f>
        <v/>
      </c>
    </row>
    <row r="920">
      <c r="A920" s="4">
        <f>TRIM(Raw_Data!A920)</f>
        <v/>
      </c>
      <c r="B920" s="5">
        <f>Raw_Data!B920</f>
        <v/>
      </c>
      <c r="C920" s="4">
        <f>TRIM(Raw_Data!C920)</f>
        <v/>
      </c>
      <c r="D920" s="4">
        <f>PROPER(TRIM(Raw_Data!D920))</f>
        <v/>
      </c>
      <c r="E920" s="4">
        <f>Raw_Data!E920</f>
        <v/>
      </c>
      <c r="F920" s="6">
        <f>ROUND(Raw_Data!F920,2)</f>
        <v/>
      </c>
      <c r="G920" s="4">
        <f>PROPER(TRIM(Raw_Data!G920))</f>
        <v/>
      </c>
      <c r="H920" s="4">
        <f>PROPER(TRIM(Raw_Data!H920))</f>
        <v/>
      </c>
      <c r="I920" s="4">
        <f>PROPER(TRIM(Raw_Data!I920))</f>
        <v/>
      </c>
      <c r="J920" s="4">
        <f>TRIM(Raw_Data!J920)</f>
        <v/>
      </c>
      <c r="K920" s="4">
        <f>Raw_Data!K920</f>
        <v/>
      </c>
      <c r="L920" s="4">
        <f>IF(TRIM(Raw_Data!L920)="","No Coupon",TRIM(Raw_Data!L920))</f>
        <v/>
      </c>
      <c r="M920" s="4">
        <f>PROPER(TRIM(Raw_Data!M920))</f>
        <v/>
      </c>
      <c r="N920" s="6">
        <f>ROUND(Raw_Data!N920,2)</f>
        <v/>
      </c>
      <c r="O920" s="7">
        <f>IF(COUNTIF($A$2:$A$1201,A920)&gt;1,"DUPLICATE","Unique")</f>
        <v/>
      </c>
      <c r="P920" s="7">
        <f>IF(COUNTIF($J$2:$J$1201,J920)&gt;1,"DUPLICATE","Unique")</f>
        <v/>
      </c>
      <c r="Q920" s="4">
        <f>IF(TRIM(Raw_Data!L920)="","Yes","No")</f>
        <v/>
      </c>
      <c r="R920" s="4">
        <f>IF(ISNUMBER(B920),"Valid","INVALID")</f>
        <v/>
      </c>
    </row>
    <row r="921">
      <c r="A921" s="4">
        <f>TRIM(Raw_Data!A921)</f>
        <v/>
      </c>
      <c r="B921" s="5">
        <f>Raw_Data!B921</f>
        <v/>
      </c>
      <c r="C921" s="4">
        <f>TRIM(Raw_Data!C921)</f>
        <v/>
      </c>
      <c r="D921" s="4">
        <f>PROPER(TRIM(Raw_Data!D921))</f>
        <v/>
      </c>
      <c r="E921" s="4">
        <f>Raw_Data!E921</f>
        <v/>
      </c>
      <c r="F921" s="6">
        <f>ROUND(Raw_Data!F921,2)</f>
        <v/>
      </c>
      <c r="G921" s="4">
        <f>PROPER(TRIM(Raw_Data!G921))</f>
        <v/>
      </c>
      <c r="H921" s="4">
        <f>PROPER(TRIM(Raw_Data!H921))</f>
        <v/>
      </c>
      <c r="I921" s="4">
        <f>PROPER(TRIM(Raw_Data!I921))</f>
        <v/>
      </c>
      <c r="J921" s="4">
        <f>TRIM(Raw_Data!J921)</f>
        <v/>
      </c>
      <c r="K921" s="4">
        <f>Raw_Data!K921</f>
        <v/>
      </c>
      <c r="L921" s="4">
        <f>IF(TRIM(Raw_Data!L921)="","No Coupon",TRIM(Raw_Data!L921))</f>
        <v/>
      </c>
      <c r="M921" s="4">
        <f>PROPER(TRIM(Raw_Data!M921))</f>
        <v/>
      </c>
      <c r="N921" s="6">
        <f>ROUND(Raw_Data!N921,2)</f>
        <v/>
      </c>
      <c r="O921" s="7">
        <f>IF(COUNTIF($A$2:$A$1201,A921)&gt;1,"DUPLICATE","Unique")</f>
        <v/>
      </c>
      <c r="P921" s="7">
        <f>IF(COUNTIF($J$2:$J$1201,J921)&gt;1,"DUPLICATE","Unique")</f>
        <v/>
      </c>
      <c r="Q921" s="4">
        <f>IF(TRIM(Raw_Data!L921)="","Yes","No")</f>
        <v/>
      </c>
      <c r="R921" s="4">
        <f>IF(ISNUMBER(B921),"Valid","INVALID")</f>
        <v/>
      </c>
    </row>
    <row r="922">
      <c r="A922" s="4">
        <f>TRIM(Raw_Data!A922)</f>
        <v/>
      </c>
      <c r="B922" s="5">
        <f>Raw_Data!B922</f>
        <v/>
      </c>
      <c r="C922" s="4">
        <f>TRIM(Raw_Data!C922)</f>
        <v/>
      </c>
      <c r="D922" s="4">
        <f>PROPER(TRIM(Raw_Data!D922))</f>
        <v/>
      </c>
      <c r="E922" s="4">
        <f>Raw_Data!E922</f>
        <v/>
      </c>
      <c r="F922" s="6">
        <f>ROUND(Raw_Data!F922,2)</f>
        <v/>
      </c>
      <c r="G922" s="4">
        <f>PROPER(TRIM(Raw_Data!G922))</f>
        <v/>
      </c>
      <c r="H922" s="4">
        <f>PROPER(TRIM(Raw_Data!H922))</f>
        <v/>
      </c>
      <c r="I922" s="4">
        <f>PROPER(TRIM(Raw_Data!I922))</f>
        <v/>
      </c>
      <c r="J922" s="4">
        <f>TRIM(Raw_Data!J922)</f>
        <v/>
      </c>
      <c r="K922" s="4">
        <f>Raw_Data!K922</f>
        <v/>
      </c>
      <c r="L922" s="4">
        <f>IF(TRIM(Raw_Data!L922)="","No Coupon",TRIM(Raw_Data!L922))</f>
        <v/>
      </c>
      <c r="M922" s="4">
        <f>PROPER(TRIM(Raw_Data!M922))</f>
        <v/>
      </c>
      <c r="N922" s="6">
        <f>ROUND(Raw_Data!N922,2)</f>
        <v/>
      </c>
      <c r="O922" s="7">
        <f>IF(COUNTIF($A$2:$A$1201,A922)&gt;1,"DUPLICATE","Unique")</f>
        <v/>
      </c>
      <c r="P922" s="7">
        <f>IF(COUNTIF($J$2:$J$1201,J922)&gt;1,"DUPLICATE","Unique")</f>
        <v/>
      </c>
      <c r="Q922" s="4">
        <f>IF(TRIM(Raw_Data!L922)="","Yes","No")</f>
        <v/>
      </c>
      <c r="R922" s="4">
        <f>IF(ISNUMBER(B922),"Valid","INVALID")</f>
        <v/>
      </c>
    </row>
    <row r="923">
      <c r="A923" s="4">
        <f>TRIM(Raw_Data!A923)</f>
        <v/>
      </c>
      <c r="B923" s="5">
        <f>Raw_Data!B923</f>
        <v/>
      </c>
      <c r="C923" s="4">
        <f>TRIM(Raw_Data!C923)</f>
        <v/>
      </c>
      <c r="D923" s="4">
        <f>PROPER(TRIM(Raw_Data!D923))</f>
        <v/>
      </c>
      <c r="E923" s="4">
        <f>Raw_Data!E923</f>
        <v/>
      </c>
      <c r="F923" s="6">
        <f>ROUND(Raw_Data!F923,2)</f>
        <v/>
      </c>
      <c r="G923" s="4">
        <f>PROPER(TRIM(Raw_Data!G923))</f>
        <v/>
      </c>
      <c r="H923" s="4">
        <f>PROPER(TRIM(Raw_Data!H923))</f>
        <v/>
      </c>
      <c r="I923" s="4">
        <f>PROPER(TRIM(Raw_Data!I923))</f>
        <v/>
      </c>
      <c r="J923" s="4">
        <f>TRIM(Raw_Data!J923)</f>
        <v/>
      </c>
      <c r="K923" s="4">
        <f>Raw_Data!K923</f>
        <v/>
      </c>
      <c r="L923" s="4">
        <f>IF(TRIM(Raw_Data!L923)="","No Coupon",TRIM(Raw_Data!L923))</f>
        <v/>
      </c>
      <c r="M923" s="4">
        <f>PROPER(TRIM(Raw_Data!M923))</f>
        <v/>
      </c>
      <c r="N923" s="6">
        <f>ROUND(Raw_Data!N923,2)</f>
        <v/>
      </c>
      <c r="O923" s="7">
        <f>IF(COUNTIF($A$2:$A$1201,A923)&gt;1,"DUPLICATE","Unique")</f>
        <v/>
      </c>
      <c r="P923" s="7">
        <f>IF(COUNTIF($J$2:$J$1201,J923)&gt;1,"DUPLICATE","Unique")</f>
        <v/>
      </c>
      <c r="Q923" s="4">
        <f>IF(TRIM(Raw_Data!L923)="","Yes","No")</f>
        <v/>
      </c>
      <c r="R923" s="4">
        <f>IF(ISNUMBER(B923),"Valid","INVALID")</f>
        <v/>
      </c>
    </row>
    <row r="924">
      <c r="A924" s="4">
        <f>TRIM(Raw_Data!A924)</f>
        <v/>
      </c>
      <c r="B924" s="5">
        <f>Raw_Data!B924</f>
        <v/>
      </c>
      <c r="C924" s="4">
        <f>TRIM(Raw_Data!C924)</f>
        <v/>
      </c>
      <c r="D924" s="4">
        <f>PROPER(TRIM(Raw_Data!D924))</f>
        <v/>
      </c>
      <c r="E924" s="4">
        <f>Raw_Data!E924</f>
        <v/>
      </c>
      <c r="F924" s="6">
        <f>ROUND(Raw_Data!F924,2)</f>
        <v/>
      </c>
      <c r="G924" s="4">
        <f>PROPER(TRIM(Raw_Data!G924))</f>
        <v/>
      </c>
      <c r="H924" s="4">
        <f>PROPER(TRIM(Raw_Data!H924))</f>
        <v/>
      </c>
      <c r="I924" s="4">
        <f>PROPER(TRIM(Raw_Data!I924))</f>
        <v/>
      </c>
      <c r="J924" s="4">
        <f>TRIM(Raw_Data!J924)</f>
        <v/>
      </c>
      <c r="K924" s="4">
        <f>Raw_Data!K924</f>
        <v/>
      </c>
      <c r="L924" s="4">
        <f>IF(TRIM(Raw_Data!L924)="","No Coupon",TRIM(Raw_Data!L924))</f>
        <v/>
      </c>
      <c r="M924" s="4">
        <f>PROPER(TRIM(Raw_Data!M924))</f>
        <v/>
      </c>
      <c r="N924" s="6">
        <f>ROUND(Raw_Data!N924,2)</f>
        <v/>
      </c>
      <c r="O924" s="7">
        <f>IF(COUNTIF($A$2:$A$1201,A924)&gt;1,"DUPLICATE","Unique")</f>
        <v/>
      </c>
      <c r="P924" s="7">
        <f>IF(COUNTIF($J$2:$J$1201,J924)&gt;1,"DUPLICATE","Unique")</f>
        <v/>
      </c>
      <c r="Q924" s="4">
        <f>IF(TRIM(Raw_Data!L924)="","Yes","No")</f>
        <v/>
      </c>
      <c r="R924" s="4">
        <f>IF(ISNUMBER(B924),"Valid","INVALID")</f>
        <v/>
      </c>
    </row>
    <row r="925">
      <c r="A925" s="4">
        <f>TRIM(Raw_Data!A925)</f>
        <v/>
      </c>
      <c r="B925" s="5">
        <f>Raw_Data!B925</f>
        <v/>
      </c>
      <c r="C925" s="4">
        <f>TRIM(Raw_Data!C925)</f>
        <v/>
      </c>
      <c r="D925" s="4">
        <f>PROPER(TRIM(Raw_Data!D925))</f>
        <v/>
      </c>
      <c r="E925" s="4">
        <f>Raw_Data!E925</f>
        <v/>
      </c>
      <c r="F925" s="6">
        <f>ROUND(Raw_Data!F925,2)</f>
        <v/>
      </c>
      <c r="G925" s="4">
        <f>PROPER(TRIM(Raw_Data!G925))</f>
        <v/>
      </c>
      <c r="H925" s="4">
        <f>PROPER(TRIM(Raw_Data!H925))</f>
        <v/>
      </c>
      <c r="I925" s="4">
        <f>PROPER(TRIM(Raw_Data!I925))</f>
        <v/>
      </c>
      <c r="J925" s="4">
        <f>TRIM(Raw_Data!J925)</f>
        <v/>
      </c>
      <c r="K925" s="4">
        <f>Raw_Data!K925</f>
        <v/>
      </c>
      <c r="L925" s="4">
        <f>IF(TRIM(Raw_Data!L925)="","No Coupon",TRIM(Raw_Data!L925))</f>
        <v/>
      </c>
      <c r="M925" s="4">
        <f>PROPER(TRIM(Raw_Data!M925))</f>
        <v/>
      </c>
      <c r="N925" s="6">
        <f>ROUND(Raw_Data!N925,2)</f>
        <v/>
      </c>
      <c r="O925" s="7">
        <f>IF(COUNTIF($A$2:$A$1201,A925)&gt;1,"DUPLICATE","Unique")</f>
        <v/>
      </c>
      <c r="P925" s="7">
        <f>IF(COUNTIF($J$2:$J$1201,J925)&gt;1,"DUPLICATE","Unique")</f>
        <v/>
      </c>
      <c r="Q925" s="4">
        <f>IF(TRIM(Raw_Data!L925)="","Yes","No")</f>
        <v/>
      </c>
      <c r="R925" s="4">
        <f>IF(ISNUMBER(B925),"Valid","INVALID")</f>
        <v/>
      </c>
    </row>
    <row r="926">
      <c r="A926" s="4">
        <f>TRIM(Raw_Data!A926)</f>
        <v/>
      </c>
      <c r="B926" s="5">
        <f>Raw_Data!B926</f>
        <v/>
      </c>
      <c r="C926" s="4">
        <f>TRIM(Raw_Data!C926)</f>
        <v/>
      </c>
      <c r="D926" s="4">
        <f>PROPER(TRIM(Raw_Data!D926))</f>
        <v/>
      </c>
      <c r="E926" s="4">
        <f>Raw_Data!E926</f>
        <v/>
      </c>
      <c r="F926" s="6">
        <f>ROUND(Raw_Data!F926,2)</f>
        <v/>
      </c>
      <c r="G926" s="4">
        <f>PROPER(TRIM(Raw_Data!G926))</f>
        <v/>
      </c>
      <c r="H926" s="4">
        <f>PROPER(TRIM(Raw_Data!H926))</f>
        <v/>
      </c>
      <c r="I926" s="4">
        <f>PROPER(TRIM(Raw_Data!I926))</f>
        <v/>
      </c>
      <c r="J926" s="4">
        <f>TRIM(Raw_Data!J926)</f>
        <v/>
      </c>
      <c r="K926" s="4">
        <f>Raw_Data!K926</f>
        <v/>
      </c>
      <c r="L926" s="4">
        <f>IF(TRIM(Raw_Data!L926)="","No Coupon",TRIM(Raw_Data!L926))</f>
        <v/>
      </c>
      <c r="M926" s="4">
        <f>PROPER(TRIM(Raw_Data!M926))</f>
        <v/>
      </c>
      <c r="N926" s="6">
        <f>ROUND(Raw_Data!N926,2)</f>
        <v/>
      </c>
      <c r="O926" s="7">
        <f>IF(COUNTIF($A$2:$A$1201,A926)&gt;1,"DUPLICATE","Unique")</f>
        <v/>
      </c>
      <c r="P926" s="7">
        <f>IF(COUNTIF($J$2:$J$1201,J926)&gt;1,"DUPLICATE","Unique")</f>
        <v/>
      </c>
      <c r="Q926" s="4">
        <f>IF(TRIM(Raw_Data!L926)="","Yes","No")</f>
        <v/>
      </c>
      <c r="R926" s="4">
        <f>IF(ISNUMBER(B926),"Valid","INVALID")</f>
        <v/>
      </c>
    </row>
    <row r="927">
      <c r="A927" s="4">
        <f>TRIM(Raw_Data!A927)</f>
        <v/>
      </c>
      <c r="B927" s="5">
        <f>Raw_Data!B927</f>
        <v/>
      </c>
      <c r="C927" s="4">
        <f>TRIM(Raw_Data!C927)</f>
        <v/>
      </c>
      <c r="D927" s="4">
        <f>PROPER(TRIM(Raw_Data!D927))</f>
        <v/>
      </c>
      <c r="E927" s="4">
        <f>Raw_Data!E927</f>
        <v/>
      </c>
      <c r="F927" s="6">
        <f>ROUND(Raw_Data!F927,2)</f>
        <v/>
      </c>
      <c r="G927" s="4">
        <f>PROPER(TRIM(Raw_Data!G927))</f>
        <v/>
      </c>
      <c r="H927" s="4">
        <f>PROPER(TRIM(Raw_Data!H927))</f>
        <v/>
      </c>
      <c r="I927" s="4">
        <f>PROPER(TRIM(Raw_Data!I927))</f>
        <v/>
      </c>
      <c r="J927" s="4">
        <f>TRIM(Raw_Data!J927)</f>
        <v/>
      </c>
      <c r="K927" s="4">
        <f>Raw_Data!K927</f>
        <v/>
      </c>
      <c r="L927" s="4">
        <f>IF(TRIM(Raw_Data!L927)="","No Coupon",TRIM(Raw_Data!L927))</f>
        <v/>
      </c>
      <c r="M927" s="4">
        <f>PROPER(TRIM(Raw_Data!M927))</f>
        <v/>
      </c>
      <c r="N927" s="6">
        <f>ROUND(Raw_Data!N927,2)</f>
        <v/>
      </c>
      <c r="O927" s="7">
        <f>IF(COUNTIF($A$2:$A$1201,A927)&gt;1,"DUPLICATE","Unique")</f>
        <v/>
      </c>
      <c r="P927" s="7">
        <f>IF(COUNTIF($J$2:$J$1201,J927)&gt;1,"DUPLICATE","Unique")</f>
        <v/>
      </c>
      <c r="Q927" s="4">
        <f>IF(TRIM(Raw_Data!L927)="","Yes","No")</f>
        <v/>
      </c>
      <c r="R927" s="4">
        <f>IF(ISNUMBER(B927),"Valid","INVALID")</f>
        <v/>
      </c>
    </row>
    <row r="928">
      <c r="A928" s="4">
        <f>TRIM(Raw_Data!A928)</f>
        <v/>
      </c>
      <c r="B928" s="5">
        <f>Raw_Data!B928</f>
        <v/>
      </c>
      <c r="C928" s="4">
        <f>TRIM(Raw_Data!C928)</f>
        <v/>
      </c>
      <c r="D928" s="4">
        <f>PROPER(TRIM(Raw_Data!D928))</f>
        <v/>
      </c>
      <c r="E928" s="4">
        <f>Raw_Data!E928</f>
        <v/>
      </c>
      <c r="F928" s="6">
        <f>ROUND(Raw_Data!F928,2)</f>
        <v/>
      </c>
      <c r="G928" s="4">
        <f>PROPER(TRIM(Raw_Data!G928))</f>
        <v/>
      </c>
      <c r="H928" s="4">
        <f>PROPER(TRIM(Raw_Data!H928))</f>
        <v/>
      </c>
      <c r="I928" s="4">
        <f>PROPER(TRIM(Raw_Data!I928))</f>
        <v/>
      </c>
      <c r="J928" s="4">
        <f>TRIM(Raw_Data!J928)</f>
        <v/>
      </c>
      <c r="K928" s="4">
        <f>Raw_Data!K928</f>
        <v/>
      </c>
      <c r="L928" s="4">
        <f>IF(TRIM(Raw_Data!L928)="","No Coupon",TRIM(Raw_Data!L928))</f>
        <v/>
      </c>
      <c r="M928" s="4">
        <f>PROPER(TRIM(Raw_Data!M928))</f>
        <v/>
      </c>
      <c r="N928" s="6">
        <f>ROUND(Raw_Data!N928,2)</f>
        <v/>
      </c>
      <c r="O928" s="7">
        <f>IF(COUNTIF($A$2:$A$1201,A928)&gt;1,"DUPLICATE","Unique")</f>
        <v/>
      </c>
      <c r="P928" s="7">
        <f>IF(COUNTIF($J$2:$J$1201,J928)&gt;1,"DUPLICATE","Unique")</f>
        <v/>
      </c>
      <c r="Q928" s="4">
        <f>IF(TRIM(Raw_Data!L928)="","Yes","No")</f>
        <v/>
      </c>
      <c r="R928" s="4">
        <f>IF(ISNUMBER(B928),"Valid","INVALID")</f>
        <v/>
      </c>
    </row>
    <row r="929">
      <c r="A929" s="4">
        <f>TRIM(Raw_Data!A929)</f>
        <v/>
      </c>
      <c r="B929" s="5">
        <f>Raw_Data!B929</f>
        <v/>
      </c>
      <c r="C929" s="4">
        <f>TRIM(Raw_Data!C929)</f>
        <v/>
      </c>
      <c r="D929" s="4">
        <f>PROPER(TRIM(Raw_Data!D929))</f>
        <v/>
      </c>
      <c r="E929" s="4">
        <f>Raw_Data!E929</f>
        <v/>
      </c>
      <c r="F929" s="6">
        <f>ROUND(Raw_Data!F929,2)</f>
        <v/>
      </c>
      <c r="G929" s="4">
        <f>PROPER(TRIM(Raw_Data!G929))</f>
        <v/>
      </c>
      <c r="H929" s="4">
        <f>PROPER(TRIM(Raw_Data!H929))</f>
        <v/>
      </c>
      <c r="I929" s="4">
        <f>PROPER(TRIM(Raw_Data!I929))</f>
        <v/>
      </c>
      <c r="J929" s="4">
        <f>TRIM(Raw_Data!J929)</f>
        <v/>
      </c>
      <c r="K929" s="4">
        <f>Raw_Data!K929</f>
        <v/>
      </c>
      <c r="L929" s="4">
        <f>IF(TRIM(Raw_Data!L929)="","No Coupon",TRIM(Raw_Data!L929))</f>
        <v/>
      </c>
      <c r="M929" s="4">
        <f>PROPER(TRIM(Raw_Data!M929))</f>
        <v/>
      </c>
      <c r="N929" s="6">
        <f>ROUND(Raw_Data!N929,2)</f>
        <v/>
      </c>
      <c r="O929" s="7">
        <f>IF(COUNTIF($A$2:$A$1201,A929)&gt;1,"DUPLICATE","Unique")</f>
        <v/>
      </c>
      <c r="P929" s="7">
        <f>IF(COUNTIF($J$2:$J$1201,J929)&gt;1,"DUPLICATE","Unique")</f>
        <v/>
      </c>
      <c r="Q929" s="4">
        <f>IF(TRIM(Raw_Data!L929)="","Yes","No")</f>
        <v/>
      </c>
      <c r="R929" s="4">
        <f>IF(ISNUMBER(B929),"Valid","INVALID")</f>
        <v/>
      </c>
    </row>
    <row r="930">
      <c r="A930" s="4">
        <f>TRIM(Raw_Data!A930)</f>
        <v/>
      </c>
      <c r="B930" s="5">
        <f>Raw_Data!B930</f>
        <v/>
      </c>
      <c r="C930" s="4">
        <f>TRIM(Raw_Data!C930)</f>
        <v/>
      </c>
      <c r="D930" s="4">
        <f>PROPER(TRIM(Raw_Data!D930))</f>
        <v/>
      </c>
      <c r="E930" s="4">
        <f>Raw_Data!E930</f>
        <v/>
      </c>
      <c r="F930" s="6">
        <f>ROUND(Raw_Data!F930,2)</f>
        <v/>
      </c>
      <c r="G930" s="4">
        <f>PROPER(TRIM(Raw_Data!G930))</f>
        <v/>
      </c>
      <c r="H930" s="4">
        <f>PROPER(TRIM(Raw_Data!H930))</f>
        <v/>
      </c>
      <c r="I930" s="4">
        <f>PROPER(TRIM(Raw_Data!I930))</f>
        <v/>
      </c>
      <c r="J930" s="4">
        <f>TRIM(Raw_Data!J930)</f>
        <v/>
      </c>
      <c r="K930" s="4">
        <f>Raw_Data!K930</f>
        <v/>
      </c>
      <c r="L930" s="4">
        <f>IF(TRIM(Raw_Data!L930)="","No Coupon",TRIM(Raw_Data!L930))</f>
        <v/>
      </c>
      <c r="M930" s="4">
        <f>PROPER(TRIM(Raw_Data!M930))</f>
        <v/>
      </c>
      <c r="N930" s="6">
        <f>ROUND(Raw_Data!N930,2)</f>
        <v/>
      </c>
      <c r="O930" s="7">
        <f>IF(COUNTIF($A$2:$A$1201,A930)&gt;1,"DUPLICATE","Unique")</f>
        <v/>
      </c>
      <c r="P930" s="7">
        <f>IF(COUNTIF($J$2:$J$1201,J930)&gt;1,"DUPLICATE","Unique")</f>
        <v/>
      </c>
      <c r="Q930" s="4">
        <f>IF(TRIM(Raw_Data!L930)="","Yes","No")</f>
        <v/>
      </c>
      <c r="R930" s="4">
        <f>IF(ISNUMBER(B930),"Valid","INVALID")</f>
        <v/>
      </c>
    </row>
    <row r="931">
      <c r="A931" s="4">
        <f>TRIM(Raw_Data!A931)</f>
        <v/>
      </c>
      <c r="B931" s="5">
        <f>Raw_Data!B931</f>
        <v/>
      </c>
      <c r="C931" s="4">
        <f>TRIM(Raw_Data!C931)</f>
        <v/>
      </c>
      <c r="D931" s="4">
        <f>PROPER(TRIM(Raw_Data!D931))</f>
        <v/>
      </c>
      <c r="E931" s="4">
        <f>Raw_Data!E931</f>
        <v/>
      </c>
      <c r="F931" s="6">
        <f>ROUND(Raw_Data!F931,2)</f>
        <v/>
      </c>
      <c r="G931" s="4">
        <f>PROPER(TRIM(Raw_Data!G931))</f>
        <v/>
      </c>
      <c r="H931" s="4">
        <f>PROPER(TRIM(Raw_Data!H931))</f>
        <v/>
      </c>
      <c r="I931" s="4">
        <f>PROPER(TRIM(Raw_Data!I931))</f>
        <v/>
      </c>
      <c r="J931" s="4">
        <f>TRIM(Raw_Data!J931)</f>
        <v/>
      </c>
      <c r="K931" s="4">
        <f>Raw_Data!K931</f>
        <v/>
      </c>
      <c r="L931" s="4">
        <f>IF(TRIM(Raw_Data!L931)="","No Coupon",TRIM(Raw_Data!L931))</f>
        <v/>
      </c>
      <c r="M931" s="4">
        <f>PROPER(TRIM(Raw_Data!M931))</f>
        <v/>
      </c>
      <c r="N931" s="6">
        <f>ROUND(Raw_Data!N931,2)</f>
        <v/>
      </c>
      <c r="O931" s="7">
        <f>IF(COUNTIF($A$2:$A$1201,A931)&gt;1,"DUPLICATE","Unique")</f>
        <v/>
      </c>
      <c r="P931" s="7">
        <f>IF(COUNTIF($J$2:$J$1201,J931)&gt;1,"DUPLICATE","Unique")</f>
        <v/>
      </c>
      <c r="Q931" s="4">
        <f>IF(TRIM(Raw_Data!L931)="","Yes","No")</f>
        <v/>
      </c>
      <c r="R931" s="4">
        <f>IF(ISNUMBER(B931),"Valid","INVALID")</f>
        <v/>
      </c>
    </row>
    <row r="932">
      <c r="A932" s="4">
        <f>TRIM(Raw_Data!A932)</f>
        <v/>
      </c>
      <c r="B932" s="5">
        <f>Raw_Data!B932</f>
        <v/>
      </c>
      <c r="C932" s="4">
        <f>TRIM(Raw_Data!C932)</f>
        <v/>
      </c>
      <c r="D932" s="4">
        <f>PROPER(TRIM(Raw_Data!D932))</f>
        <v/>
      </c>
      <c r="E932" s="4">
        <f>Raw_Data!E932</f>
        <v/>
      </c>
      <c r="F932" s="6">
        <f>ROUND(Raw_Data!F932,2)</f>
        <v/>
      </c>
      <c r="G932" s="4">
        <f>PROPER(TRIM(Raw_Data!G932))</f>
        <v/>
      </c>
      <c r="H932" s="4">
        <f>PROPER(TRIM(Raw_Data!H932))</f>
        <v/>
      </c>
      <c r="I932" s="4">
        <f>PROPER(TRIM(Raw_Data!I932))</f>
        <v/>
      </c>
      <c r="J932" s="4">
        <f>TRIM(Raw_Data!J932)</f>
        <v/>
      </c>
      <c r="K932" s="4">
        <f>Raw_Data!K932</f>
        <v/>
      </c>
      <c r="L932" s="4">
        <f>IF(TRIM(Raw_Data!L932)="","No Coupon",TRIM(Raw_Data!L932))</f>
        <v/>
      </c>
      <c r="M932" s="4">
        <f>PROPER(TRIM(Raw_Data!M932))</f>
        <v/>
      </c>
      <c r="N932" s="6">
        <f>ROUND(Raw_Data!N932,2)</f>
        <v/>
      </c>
      <c r="O932" s="7">
        <f>IF(COUNTIF($A$2:$A$1201,A932)&gt;1,"DUPLICATE","Unique")</f>
        <v/>
      </c>
      <c r="P932" s="7">
        <f>IF(COUNTIF($J$2:$J$1201,J932)&gt;1,"DUPLICATE","Unique")</f>
        <v/>
      </c>
      <c r="Q932" s="4">
        <f>IF(TRIM(Raw_Data!L932)="","Yes","No")</f>
        <v/>
      </c>
      <c r="R932" s="4">
        <f>IF(ISNUMBER(B932),"Valid","INVALID")</f>
        <v/>
      </c>
    </row>
    <row r="933">
      <c r="A933" s="4">
        <f>TRIM(Raw_Data!A933)</f>
        <v/>
      </c>
      <c r="B933" s="5">
        <f>Raw_Data!B933</f>
        <v/>
      </c>
      <c r="C933" s="4">
        <f>TRIM(Raw_Data!C933)</f>
        <v/>
      </c>
      <c r="D933" s="4">
        <f>PROPER(TRIM(Raw_Data!D933))</f>
        <v/>
      </c>
      <c r="E933" s="4">
        <f>Raw_Data!E933</f>
        <v/>
      </c>
      <c r="F933" s="6">
        <f>ROUND(Raw_Data!F933,2)</f>
        <v/>
      </c>
      <c r="G933" s="4">
        <f>PROPER(TRIM(Raw_Data!G933))</f>
        <v/>
      </c>
      <c r="H933" s="4">
        <f>PROPER(TRIM(Raw_Data!H933))</f>
        <v/>
      </c>
      <c r="I933" s="4">
        <f>PROPER(TRIM(Raw_Data!I933))</f>
        <v/>
      </c>
      <c r="J933" s="4">
        <f>TRIM(Raw_Data!J933)</f>
        <v/>
      </c>
      <c r="K933" s="4">
        <f>Raw_Data!K933</f>
        <v/>
      </c>
      <c r="L933" s="4">
        <f>IF(TRIM(Raw_Data!L933)="","No Coupon",TRIM(Raw_Data!L933))</f>
        <v/>
      </c>
      <c r="M933" s="4">
        <f>PROPER(TRIM(Raw_Data!M933))</f>
        <v/>
      </c>
      <c r="N933" s="6">
        <f>ROUND(Raw_Data!N933,2)</f>
        <v/>
      </c>
      <c r="O933" s="7">
        <f>IF(COUNTIF($A$2:$A$1201,A933)&gt;1,"DUPLICATE","Unique")</f>
        <v/>
      </c>
      <c r="P933" s="7">
        <f>IF(COUNTIF($J$2:$J$1201,J933)&gt;1,"DUPLICATE","Unique")</f>
        <v/>
      </c>
      <c r="Q933" s="4">
        <f>IF(TRIM(Raw_Data!L933)="","Yes","No")</f>
        <v/>
      </c>
      <c r="R933" s="4">
        <f>IF(ISNUMBER(B933),"Valid","INVALID")</f>
        <v/>
      </c>
    </row>
    <row r="934">
      <c r="A934" s="4">
        <f>TRIM(Raw_Data!A934)</f>
        <v/>
      </c>
      <c r="B934" s="5">
        <f>Raw_Data!B934</f>
        <v/>
      </c>
      <c r="C934" s="4">
        <f>TRIM(Raw_Data!C934)</f>
        <v/>
      </c>
      <c r="D934" s="4">
        <f>PROPER(TRIM(Raw_Data!D934))</f>
        <v/>
      </c>
      <c r="E934" s="4">
        <f>Raw_Data!E934</f>
        <v/>
      </c>
      <c r="F934" s="6">
        <f>ROUND(Raw_Data!F934,2)</f>
        <v/>
      </c>
      <c r="G934" s="4">
        <f>PROPER(TRIM(Raw_Data!G934))</f>
        <v/>
      </c>
      <c r="H934" s="4">
        <f>PROPER(TRIM(Raw_Data!H934))</f>
        <v/>
      </c>
      <c r="I934" s="4">
        <f>PROPER(TRIM(Raw_Data!I934))</f>
        <v/>
      </c>
      <c r="J934" s="4">
        <f>TRIM(Raw_Data!J934)</f>
        <v/>
      </c>
      <c r="K934" s="4">
        <f>Raw_Data!K934</f>
        <v/>
      </c>
      <c r="L934" s="4">
        <f>IF(TRIM(Raw_Data!L934)="","No Coupon",TRIM(Raw_Data!L934))</f>
        <v/>
      </c>
      <c r="M934" s="4">
        <f>PROPER(TRIM(Raw_Data!M934))</f>
        <v/>
      </c>
      <c r="N934" s="6">
        <f>ROUND(Raw_Data!N934,2)</f>
        <v/>
      </c>
      <c r="O934" s="7">
        <f>IF(COUNTIF($A$2:$A$1201,A934)&gt;1,"DUPLICATE","Unique")</f>
        <v/>
      </c>
      <c r="P934" s="7">
        <f>IF(COUNTIF($J$2:$J$1201,J934)&gt;1,"DUPLICATE","Unique")</f>
        <v/>
      </c>
      <c r="Q934" s="4">
        <f>IF(TRIM(Raw_Data!L934)="","Yes","No")</f>
        <v/>
      </c>
      <c r="R934" s="4">
        <f>IF(ISNUMBER(B934),"Valid","INVALID")</f>
        <v/>
      </c>
    </row>
    <row r="935">
      <c r="A935" s="4">
        <f>TRIM(Raw_Data!A935)</f>
        <v/>
      </c>
      <c r="B935" s="5">
        <f>Raw_Data!B935</f>
        <v/>
      </c>
      <c r="C935" s="4">
        <f>TRIM(Raw_Data!C935)</f>
        <v/>
      </c>
      <c r="D935" s="4">
        <f>PROPER(TRIM(Raw_Data!D935))</f>
        <v/>
      </c>
      <c r="E935" s="4">
        <f>Raw_Data!E935</f>
        <v/>
      </c>
      <c r="F935" s="6">
        <f>ROUND(Raw_Data!F935,2)</f>
        <v/>
      </c>
      <c r="G935" s="4">
        <f>PROPER(TRIM(Raw_Data!G935))</f>
        <v/>
      </c>
      <c r="H935" s="4">
        <f>PROPER(TRIM(Raw_Data!H935))</f>
        <v/>
      </c>
      <c r="I935" s="4">
        <f>PROPER(TRIM(Raw_Data!I935))</f>
        <v/>
      </c>
      <c r="J935" s="4">
        <f>TRIM(Raw_Data!J935)</f>
        <v/>
      </c>
      <c r="K935" s="4">
        <f>Raw_Data!K935</f>
        <v/>
      </c>
      <c r="L935" s="4">
        <f>IF(TRIM(Raw_Data!L935)="","No Coupon",TRIM(Raw_Data!L935))</f>
        <v/>
      </c>
      <c r="M935" s="4">
        <f>PROPER(TRIM(Raw_Data!M935))</f>
        <v/>
      </c>
      <c r="N935" s="6">
        <f>ROUND(Raw_Data!N935,2)</f>
        <v/>
      </c>
      <c r="O935" s="7">
        <f>IF(COUNTIF($A$2:$A$1201,A935)&gt;1,"DUPLICATE","Unique")</f>
        <v/>
      </c>
      <c r="P935" s="7">
        <f>IF(COUNTIF($J$2:$J$1201,J935)&gt;1,"DUPLICATE","Unique")</f>
        <v/>
      </c>
      <c r="Q935" s="4">
        <f>IF(TRIM(Raw_Data!L935)="","Yes","No")</f>
        <v/>
      </c>
      <c r="R935" s="4">
        <f>IF(ISNUMBER(B935),"Valid","INVALID")</f>
        <v/>
      </c>
    </row>
    <row r="936">
      <c r="A936" s="4">
        <f>TRIM(Raw_Data!A936)</f>
        <v/>
      </c>
      <c r="B936" s="5">
        <f>Raw_Data!B936</f>
        <v/>
      </c>
      <c r="C936" s="4">
        <f>TRIM(Raw_Data!C936)</f>
        <v/>
      </c>
      <c r="D936" s="4">
        <f>PROPER(TRIM(Raw_Data!D936))</f>
        <v/>
      </c>
      <c r="E936" s="4">
        <f>Raw_Data!E936</f>
        <v/>
      </c>
      <c r="F936" s="6">
        <f>ROUND(Raw_Data!F936,2)</f>
        <v/>
      </c>
      <c r="G936" s="4">
        <f>PROPER(TRIM(Raw_Data!G936))</f>
        <v/>
      </c>
      <c r="H936" s="4">
        <f>PROPER(TRIM(Raw_Data!H936))</f>
        <v/>
      </c>
      <c r="I936" s="4">
        <f>PROPER(TRIM(Raw_Data!I936))</f>
        <v/>
      </c>
      <c r="J936" s="4">
        <f>TRIM(Raw_Data!J936)</f>
        <v/>
      </c>
      <c r="K936" s="4">
        <f>Raw_Data!K936</f>
        <v/>
      </c>
      <c r="L936" s="4">
        <f>IF(TRIM(Raw_Data!L936)="","No Coupon",TRIM(Raw_Data!L936))</f>
        <v/>
      </c>
      <c r="M936" s="4">
        <f>PROPER(TRIM(Raw_Data!M936))</f>
        <v/>
      </c>
      <c r="N936" s="6">
        <f>ROUND(Raw_Data!N936,2)</f>
        <v/>
      </c>
      <c r="O936" s="7">
        <f>IF(COUNTIF($A$2:$A$1201,A936)&gt;1,"DUPLICATE","Unique")</f>
        <v/>
      </c>
      <c r="P936" s="7">
        <f>IF(COUNTIF($J$2:$J$1201,J936)&gt;1,"DUPLICATE","Unique")</f>
        <v/>
      </c>
      <c r="Q936" s="4">
        <f>IF(TRIM(Raw_Data!L936)="","Yes","No")</f>
        <v/>
      </c>
      <c r="R936" s="4">
        <f>IF(ISNUMBER(B936),"Valid","INVALID")</f>
        <v/>
      </c>
    </row>
    <row r="937">
      <c r="A937" s="4">
        <f>TRIM(Raw_Data!A937)</f>
        <v/>
      </c>
      <c r="B937" s="5">
        <f>Raw_Data!B937</f>
        <v/>
      </c>
      <c r="C937" s="4">
        <f>TRIM(Raw_Data!C937)</f>
        <v/>
      </c>
      <c r="D937" s="4">
        <f>PROPER(TRIM(Raw_Data!D937))</f>
        <v/>
      </c>
      <c r="E937" s="4">
        <f>Raw_Data!E937</f>
        <v/>
      </c>
      <c r="F937" s="6">
        <f>ROUND(Raw_Data!F937,2)</f>
        <v/>
      </c>
      <c r="G937" s="4">
        <f>PROPER(TRIM(Raw_Data!G937))</f>
        <v/>
      </c>
      <c r="H937" s="4">
        <f>PROPER(TRIM(Raw_Data!H937))</f>
        <v/>
      </c>
      <c r="I937" s="4">
        <f>PROPER(TRIM(Raw_Data!I937))</f>
        <v/>
      </c>
      <c r="J937" s="4">
        <f>TRIM(Raw_Data!J937)</f>
        <v/>
      </c>
      <c r="K937" s="4">
        <f>Raw_Data!K937</f>
        <v/>
      </c>
      <c r="L937" s="4">
        <f>IF(TRIM(Raw_Data!L937)="","No Coupon",TRIM(Raw_Data!L937))</f>
        <v/>
      </c>
      <c r="M937" s="4">
        <f>PROPER(TRIM(Raw_Data!M937))</f>
        <v/>
      </c>
      <c r="N937" s="6">
        <f>ROUND(Raw_Data!N937,2)</f>
        <v/>
      </c>
      <c r="O937" s="7">
        <f>IF(COUNTIF($A$2:$A$1201,A937)&gt;1,"DUPLICATE","Unique")</f>
        <v/>
      </c>
      <c r="P937" s="7">
        <f>IF(COUNTIF($J$2:$J$1201,J937)&gt;1,"DUPLICATE","Unique")</f>
        <v/>
      </c>
      <c r="Q937" s="4">
        <f>IF(TRIM(Raw_Data!L937)="","Yes","No")</f>
        <v/>
      </c>
      <c r="R937" s="4">
        <f>IF(ISNUMBER(B937),"Valid","INVALID")</f>
        <v/>
      </c>
    </row>
    <row r="938">
      <c r="A938" s="4">
        <f>TRIM(Raw_Data!A938)</f>
        <v/>
      </c>
      <c r="B938" s="5">
        <f>Raw_Data!B938</f>
        <v/>
      </c>
      <c r="C938" s="4">
        <f>TRIM(Raw_Data!C938)</f>
        <v/>
      </c>
      <c r="D938" s="4">
        <f>PROPER(TRIM(Raw_Data!D938))</f>
        <v/>
      </c>
      <c r="E938" s="4">
        <f>Raw_Data!E938</f>
        <v/>
      </c>
      <c r="F938" s="6">
        <f>ROUND(Raw_Data!F938,2)</f>
        <v/>
      </c>
      <c r="G938" s="4">
        <f>PROPER(TRIM(Raw_Data!G938))</f>
        <v/>
      </c>
      <c r="H938" s="4">
        <f>PROPER(TRIM(Raw_Data!H938))</f>
        <v/>
      </c>
      <c r="I938" s="4">
        <f>PROPER(TRIM(Raw_Data!I938))</f>
        <v/>
      </c>
      <c r="J938" s="4">
        <f>TRIM(Raw_Data!J938)</f>
        <v/>
      </c>
      <c r="K938" s="4">
        <f>Raw_Data!K938</f>
        <v/>
      </c>
      <c r="L938" s="4">
        <f>IF(TRIM(Raw_Data!L938)="","No Coupon",TRIM(Raw_Data!L938))</f>
        <v/>
      </c>
      <c r="M938" s="4">
        <f>PROPER(TRIM(Raw_Data!M938))</f>
        <v/>
      </c>
      <c r="N938" s="6">
        <f>ROUND(Raw_Data!N938,2)</f>
        <v/>
      </c>
      <c r="O938" s="7">
        <f>IF(COUNTIF($A$2:$A$1201,A938)&gt;1,"DUPLICATE","Unique")</f>
        <v/>
      </c>
      <c r="P938" s="7">
        <f>IF(COUNTIF($J$2:$J$1201,J938)&gt;1,"DUPLICATE","Unique")</f>
        <v/>
      </c>
      <c r="Q938" s="4">
        <f>IF(TRIM(Raw_Data!L938)="","Yes","No")</f>
        <v/>
      </c>
      <c r="R938" s="4">
        <f>IF(ISNUMBER(B938),"Valid","INVALID")</f>
        <v/>
      </c>
    </row>
    <row r="939">
      <c r="A939" s="4">
        <f>TRIM(Raw_Data!A939)</f>
        <v/>
      </c>
      <c r="B939" s="5">
        <f>Raw_Data!B939</f>
        <v/>
      </c>
      <c r="C939" s="4">
        <f>TRIM(Raw_Data!C939)</f>
        <v/>
      </c>
      <c r="D939" s="4">
        <f>PROPER(TRIM(Raw_Data!D939))</f>
        <v/>
      </c>
      <c r="E939" s="4">
        <f>Raw_Data!E939</f>
        <v/>
      </c>
      <c r="F939" s="6">
        <f>ROUND(Raw_Data!F939,2)</f>
        <v/>
      </c>
      <c r="G939" s="4">
        <f>PROPER(TRIM(Raw_Data!G939))</f>
        <v/>
      </c>
      <c r="H939" s="4">
        <f>PROPER(TRIM(Raw_Data!H939))</f>
        <v/>
      </c>
      <c r="I939" s="4">
        <f>PROPER(TRIM(Raw_Data!I939))</f>
        <v/>
      </c>
      <c r="J939" s="4">
        <f>TRIM(Raw_Data!J939)</f>
        <v/>
      </c>
      <c r="K939" s="4">
        <f>Raw_Data!K939</f>
        <v/>
      </c>
      <c r="L939" s="4">
        <f>IF(TRIM(Raw_Data!L939)="","No Coupon",TRIM(Raw_Data!L939))</f>
        <v/>
      </c>
      <c r="M939" s="4">
        <f>PROPER(TRIM(Raw_Data!M939))</f>
        <v/>
      </c>
      <c r="N939" s="6">
        <f>ROUND(Raw_Data!N939,2)</f>
        <v/>
      </c>
      <c r="O939" s="7">
        <f>IF(COUNTIF($A$2:$A$1201,A939)&gt;1,"DUPLICATE","Unique")</f>
        <v/>
      </c>
      <c r="P939" s="7">
        <f>IF(COUNTIF($J$2:$J$1201,J939)&gt;1,"DUPLICATE","Unique")</f>
        <v/>
      </c>
      <c r="Q939" s="4">
        <f>IF(TRIM(Raw_Data!L939)="","Yes","No")</f>
        <v/>
      </c>
      <c r="R939" s="4">
        <f>IF(ISNUMBER(B939),"Valid","INVALID")</f>
        <v/>
      </c>
    </row>
    <row r="940">
      <c r="A940" s="4">
        <f>TRIM(Raw_Data!A940)</f>
        <v/>
      </c>
      <c r="B940" s="5">
        <f>Raw_Data!B940</f>
        <v/>
      </c>
      <c r="C940" s="4">
        <f>TRIM(Raw_Data!C940)</f>
        <v/>
      </c>
      <c r="D940" s="4">
        <f>PROPER(TRIM(Raw_Data!D940))</f>
        <v/>
      </c>
      <c r="E940" s="4">
        <f>Raw_Data!E940</f>
        <v/>
      </c>
      <c r="F940" s="6">
        <f>ROUND(Raw_Data!F940,2)</f>
        <v/>
      </c>
      <c r="G940" s="4">
        <f>PROPER(TRIM(Raw_Data!G940))</f>
        <v/>
      </c>
      <c r="H940" s="4">
        <f>PROPER(TRIM(Raw_Data!H940))</f>
        <v/>
      </c>
      <c r="I940" s="4">
        <f>PROPER(TRIM(Raw_Data!I940))</f>
        <v/>
      </c>
      <c r="J940" s="4">
        <f>TRIM(Raw_Data!J940)</f>
        <v/>
      </c>
      <c r="K940" s="4">
        <f>Raw_Data!K940</f>
        <v/>
      </c>
      <c r="L940" s="4">
        <f>IF(TRIM(Raw_Data!L940)="","No Coupon",TRIM(Raw_Data!L940))</f>
        <v/>
      </c>
      <c r="M940" s="4">
        <f>PROPER(TRIM(Raw_Data!M940))</f>
        <v/>
      </c>
      <c r="N940" s="6">
        <f>ROUND(Raw_Data!N940,2)</f>
        <v/>
      </c>
      <c r="O940" s="7">
        <f>IF(COUNTIF($A$2:$A$1201,A940)&gt;1,"DUPLICATE","Unique")</f>
        <v/>
      </c>
      <c r="P940" s="7">
        <f>IF(COUNTIF($J$2:$J$1201,J940)&gt;1,"DUPLICATE","Unique")</f>
        <v/>
      </c>
      <c r="Q940" s="4">
        <f>IF(TRIM(Raw_Data!L940)="","Yes","No")</f>
        <v/>
      </c>
      <c r="R940" s="4">
        <f>IF(ISNUMBER(B940),"Valid","INVALID")</f>
        <v/>
      </c>
    </row>
    <row r="941">
      <c r="A941" s="4">
        <f>TRIM(Raw_Data!A941)</f>
        <v/>
      </c>
      <c r="B941" s="5">
        <f>Raw_Data!B941</f>
        <v/>
      </c>
      <c r="C941" s="4">
        <f>TRIM(Raw_Data!C941)</f>
        <v/>
      </c>
      <c r="D941" s="4">
        <f>PROPER(TRIM(Raw_Data!D941))</f>
        <v/>
      </c>
      <c r="E941" s="4">
        <f>Raw_Data!E941</f>
        <v/>
      </c>
      <c r="F941" s="6">
        <f>ROUND(Raw_Data!F941,2)</f>
        <v/>
      </c>
      <c r="G941" s="4">
        <f>PROPER(TRIM(Raw_Data!G941))</f>
        <v/>
      </c>
      <c r="H941" s="4">
        <f>PROPER(TRIM(Raw_Data!H941))</f>
        <v/>
      </c>
      <c r="I941" s="4">
        <f>PROPER(TRIM(Raw_Data!I941))</f>
        <v/>
      </c>
      <c r="J941" s="4">
        <f>TRIM(Raw_Data!J941)</f>
        <v/>
      </c>
      <c r="K941" s="4">
        <f>Raw_Data!K941</f>
        <v/>
      </c>
      <c r="L941" s="4">
        <f>IF(TRIM(Raw_Data!L941)="","No Coupon",TRIM(Raw_Data!L941))</f>
        <v/>
      </c>
      <c r="M941" s="4">
        <f>PROPER(TRIM(Raw_Data!M941))</f>
        <v/>
      </c>
      <c r="N941" s="6">
        <f>ROUND(Raw_Data!N941,2)</f>
        <v/>
      </c>
      <c r="O941" s="7">
        <f>IF(COUNTIF($A$2:$A$1201,A941)&gt;1,"DUPLICATE","Unique")</f>
        <v/>
      </c>
      <c r="P941" s="7">
        <f>IF(COUNTIF($J$2:$J$1201,J941)&gt;1,"DUPLICATE","Unique")</f>
        <v/>
      </c>
      <c r="Q941" s="4">
        <f>IF(TRIM(Raw_Data!L941)="","Yes","No")</f>
        <v/>
      </c>
      <c r="R941" s="4">
        <f>IF(ISNUMBER(B941),"Valid","INVALID")</f>
        <v/>
      </c>
    </row>
    <row r="942">
      <c r="A942" s="4">
        <f>TRIM(Raw_Data!A942)</f>
        <v/>
      </c>
      <c r="B942" s="5">
        <f>Raw_Data!B942</f>
        <v/>
      </c>
      <c r="C942" s="4">
        <f>TRIM(Raw_Data!C942)</f>
        <v/>
      </c>
      <c r="D942" s="4">
        <f>PROPER(TRIM(Raw_Data!D942))</f>
        <v/>
      </c>
      <c r="E942" s="4">
        <f>Raw_Data!E942</f>
        <v/>
      </c>
      <c r="F942" s="6">
        <f>ROUND(Raw_Data!F942,2)</f>
        <v/>
      </c>
      <c r="G942" s="4">
        <f>PROPER(TRIM(Raw_Data!G942))</f>
        <v/>
      </c>
      <c r="H942" s="4">
        <f>PROPER(TRIM(Raw_Data!H942))</f>
        <v/>
      </c>
      <c r="I942" s="4">
        <f>PROPER(TRIM(Raw_Data!I942))</f>
        <v/>
      </c>
      <c r="J942" s="4">
        <f>TRIM(Raw_Data!J942)</f>
        <v/>
      </c>
      <c r="K942" s="4">
        <f>Raw_Data!K942</f>
        <v/>
      </c>
      <c r="L942" s="4">
        <f>IF(TRIM(Raw_Data!L942)="","No Coupon",TRIM(Raw_Data!L942))</f>
        <v/>
      </c>
      <c r="M942" s="4">
        <f>PROPER(TRIM(Raw_Data!M942))</f>
        <v/>
      </c>
      <c r="N942" s="6">
        <f>ROUND(Raw_Data!N942,2)</f>
        <v/>
      </c>
      <c r="O942" s="7">
        <f>IF(COUNTIF($A$2:$A$1201,A942)&gt;1,"DUPLICATE","Unique")</f>
        <v/>
      </c>
      <c r="P942" s="7">
        <f>IF(COUNTIF($J$2:$J$1201,J942)&gt;1,"DUPLICATE","Unique")</f>
        <v/>
      </c>
      <c r="Q942" s="4">
        <f>IF(TRIM(Raw_Data!L942)="","Yes","No")</f>
        <v/>
      </c>
      <c r="R942" s="4">
        <f>IF(ISNUMBER(B942),"Valid","INVALID")</f>
        <v/>
      </c>
    </row>
    <row r="943">
      <c r="A943" s="4">
        <f>TRIM(Raw_Data!A943)</f>
        <v/>
      </c>
      <c r="B943" s="5">
        <f>Raw_Data!B943</f>
        <v/>
      </c>
      <c r="C943" s="4">
        <f>TRIM(Raw_Data!C943)</f>
        <v/>
      </c>
      <c r="D943" s="4">
        <f>PROPER(TRIM(Raw_Data!D943))</f>
        <v/>
      </c>
      <c r="E943" s="4">
        <f>Raw_Data!E943</f>
        <v/>
      </c>
      <c r="F943" s="6">
        <f>ROUND(Raw_Data!F943,2)</f>
        <v/>
      </c>
      <c r="G943" s="4">
        <f>PROPER(TRIM(Raw_Data!G943))</f>
        <v/>
      </c>
      <c r="H943" s="4">
        <f>PROPER(TRIM(Raw_Data!H943))</f>
        <v/>
      </c>
      <c r="I943" s="4">
        <f>PROPER(TRIM(Raw_Data!I943))</f>
        <v/>
      </c>
      <c r="J943" s="4">
        <f>TRIM(Raw_Data!J943)</f>
        <v/>
      </c>
      <c r="K943" s="4">
        <f>Raw_Data!K943</f>
        <v/>
      </c>
      <c r="L943" s="4">
        <f>IF(TRIM(Raw_Data!L943)="","No Coupon",TRIM(Raw_Data!L943))</f>
        <v/>
      </c>
      <c r="M943" s="4">
        <f>PROPER(TRIM(Raw_Data!M943))</f>
        <v/>
      </c>
      <c r="N943" s="6">
        <f>ROUND(Raw_Data!N943,2)</f>
        <v/>
      </c>
      <c r="O943" s="7">
        <f>IF(COUNTIF($A$2:$A$1201,A943)&gt;1,"DUPLICATE","Unique")</f>
        <v/>
      </c>
      <c r="P943" s="7">
        <f>IF(COUNTIF($J$2:$J$1201,J943)&gt;1,"DUPLICATE","Unique")</f>
        <v/>
      </c>
      <c r="Q943" s="4">
        <f>IF(TRIM(Raw_Data!L943)="","Yes","No")</f>
        <v/>
      </c>
      <c r="R943" s="4">
        <f>IF(ISNUMBER(B943),"Valid","INVALID")</f>
        <v/>
      </c>
    </row>
    <row r="944">
      <c r="A944" s="4">
        <f>TRIM(Raw_Data!A944)</f>
        <v/>
      </c>
      <c r="B944" s="5">
        <f>Raw_Data!B944</f>
        <v/>
      </c>
      <c r="C944" s="4">
        <f>TRIM(Raw_Data!C944)</f>
        <v/>
      </c>
      <c r="D944" s="4">
        <f>PROPER(TRIM(Raw_Data!D944))</f>
        <v/>
      </c>
      <c r="E944" s="4">
        <f>Raw_Data!E944</f>
        <v/>
      </c>
      <c r="F944" s="6">
        <f>ROUND(Raw_Data!F944,2)</f>
        <v/>
      </c>
      <c r="G944" s="4">
        <f>PROPER(TRIM(Raw_Data!G944))</f>
        <v/>
      </c>
      <c r="H944" s="4">
        <f>PROPER(TRIM(Raw_Data!H944))</f>
        <v/>
      </c>
      <c r="I944" s="4">
        <f>PROPER(TRIM(Raw_Data!I944))</f>
        <v/>
      </c>
      <c r="J944" s="4">
        <f>TRIM(Raw_Data!J944)</f>
        <v/>
      </c>
      <c r="K944" s="4">
        <f>Raw_Data!K944</f>
        <v/>
      </c>
      <c r="L944" s="4">
        <f>IF(TRIM(Raw_Data!L944)="","No Coupon",TRIM(Raw_Data!L944))</f>
        <v/>
      </c>
      <c r="M944" s="4">
        <f>PROPER(TRIM(Raw_Data!M944))</f>
        <v/>
      </c>
      <c r="N944" s="6">
        <f>ROUND(Raw_Data!N944,2)</f>
        <v/>
      </c>
      <c r="O944" s="7">
        <f>IF(COUNTIF($A$2:$A$1201,A944)&gt;1,"DUPLICATE","Unique")</f>
        <v/>
      </c>
      <c r="P944" s="7">
        <f>IF(COUNTIF($J$2:$J$1201,J944)&gt;1,"DUPLICATE","Unique")</f>
        <v/>
      </c>
      <c r="Q944" s="4">
        <f>IF(TRIM(Raw_Data!L944)="","Yes","No")</f>
        <v/>
      </c>
      <c r="R944" s="4">
        <f>IF(ISNUMBER(B944),"Valid","INVALID")</f>
        <v/>
      </c>
    </row>
    <row r="945">
      <c r="A945" s="4">
        <f>TRIM(Raw_Data!A945)</f>
        <v/>
      </c>
      <c r="B945" s="5">
        <f>Raw_Data!B945</f>
        <v/>
      </c>
      <c r="C945" s="4">
        <f>TRIM(Raw_Data!C945)</f>
        <v/>
      </c>
      <c r="D945" s="4">
        <f>PROPER(TRIM(Raw_Data!D945))</f>
        <v/>
      </c>
      <c r="E945" s="4">
        <f>Raw_Data!E945</f>
        <v/>
      </c>
      <c r="F945" s="6">
        <f>ROUND(Raw_Data!F945,2)</f>
        <v/>
      </c>
      <c r="G945" s="4">
        <f>PROPER(TRIM(Raw_Data!G945))</f>
        <v/>
      </c>
      <c r="H945" s="4">
        <f>PROPER(TRIM(Raw_Data!H945))</f>
        <v/>
      </c>
      <c r="I945" s="4">
        <f>PROPER(TRIM(Raw_Data!I945))</f>
        <v/>
      </c>
      <c r="J945" s="4">
        <f>TRIM(Raw_Data!J945)</f>
        <v/>
      </c>
      <c r="K945" s="4">
        <f>Raw_Data!K945</f>
        <v/>
      </c>
      <c r="L945" s="4">
        <f>IF(TRIM(Raw_Data!L945)="","No Coupon",TRIM(Raw_Data!L945))</f>
        <v/>
      </c>
      <c r="M945" s="4">
        <f>PROPER(TRIM(Raw_Data!M945))</f>
        <v/>
      </c>
      <c r="N945" s="6">
        <f>ROUND(Raw_Data!N945,2)</f>
        <v/>
      </c>
      <c r="O945" s="7">
        <f>IF(COUNTIF($A$2:$A$1201,A945)&gt;1,"DUPLICATE","Unique")</f>
        <v/>
      </c>
      <c r="P945" s="7">
        <f>IF(COUNTIF($J$2:$J$1201,J945)&gt;1,"DUPLICATE","Unique")</f>
        <v/>
      </c>
      <c r="Q945" s="4">
        <f>IF(TRIM(Raw_Data!L945)="","Yes","No")</f>
        <v/>
      </c>
      <c r="R945" s="4">
        <f>IF(ISNUMBER(B945),"Valid","INVALID")</f>
        <v/>
      </c>
    </row>
    <row r="946">
      <c r="A946" s="4">
        <f>TRIM(Raw_Data!A946)</f>
        <v/>
      </c>
      <c r="B946" s="5">
        <f>Raw_Data!B946</f>
        <v/>
      </c>
      <c r="C946" s="4">
        <f>TRIM(Raw_Data!C946)</f>
        <v/>
      </c>
      <c r="D946" s="4">
        <f>PROPER(TRIM(Raw_Data!D946))</f>
        <v/>
      </c>
      <c r="E946" s="4">
        <f>Raw_Data!E946</f>
        <v/>
      </c>
      <c r="F946" s="6">
        <f>ROUND(Raw_Data!F946,2)</f>
        <v/>
      </c>
      <c r="G946" s="4">
        <f>PROPER(TRIM(Raw_Data!G946))</f>
        <v/>
      </c>
      <c r="H946" s="4">
        <f>PROPER(TRIM(Raw_Data!H946))</f>
        <v/>
      </c>
      <c r="I946" s="4">
        <f>PROPER(TRIM(Raw_Data!I946))</f>
        <v/>
      </c>
      <c r="J946" s="4">
        <f>TRIM(Raw_Data!J946)</f>
        <v/>
      </c>
      <c r="K946" s="4">
        <f>Raw_Data!K946</f>
        <v/>
      </c>
      <c r="L946" s="4">
        <f>IF(TRIM(Raw_Data!L946)="","No Coupon",TRIM(Raw_Data!L946))</f>
        <v/>
      </c>
      <c r="M946" s="4">
        <f>PROPER(TRIM(Raw_Data!M946))</f>
        <v/>
      </c>
      <c r="N946" s="6">
        <f>ROUND(Raw_Data!N946,2)</f>
        <v/>
      </c>
      <c r="O946" s="7">
        <f>IF(COUNTIF($A$2:$A$1201,A946)&gt;1,"DUPLICATE","Unique")</f>
        <v/>
      </c>
      <c r="P946" s="7">
        <f>IF(COUNTIF($J$2:$J$1201,J946)&gt;1,"DUPLICATE","Unique")</f>
        <v/>
      </c>
      <c r="Q946" s="4">
        <f>IF(TRIM(Raw_Data!L946)="","Yes","No")</f>
        <v/>
      </c>
      <c r="R946" s="4">
        <f>IF(ISNUMBER(B946),"Valid","INVALID")</f>
        <v/>
      </c>
    </row>
    <row r="947">
      <c r="A947" s="4">
        <f>TRIM(Raw_Data!A947)</f>
        <v/>
      </c>
      <c r="B947" s="5">
        <f>Raw_Data!B947</f>
        <v/>
      </c>
      <c r="C947" s="4">
        <f>TRIM(Raw_Data!C947)</f>
        <v/>
      </c>
      <c r="D947" s="4">
        <f>PROPER(TRIM(Raw_Data!D947))</f>
        <v/>
      </c>
      <c r="E947" s="4">
        <f>Raw_Data!E947</f>
        <v/>
      </c>
      <c r="F947" s="6">
        <f>ROUND(Raw_Data!F947,2)</f>
        <v/>
      </c>
      <c r="G947" s="4">
        <f>PROPER(TRIM(Raw_Data!G947))</f>
        <v/>
      </c>
      <c r="H947" s="4">
        <f>PROPER(TRIM(Raw_Data!H947))</f>
        <v/>
      </c>
      <c r="I947" s="4">
        <f>PROPER(TRIM(Raw_Data!I947))</f>
        <v/>
      </c>
      <c r="J947" s="4">
        <f>TRIM(Raw_Data!J947)</f>
        <v/>
      </c>
      <c r="K947" s="4">
        <f>Raw_Data!K947</f>
        <v/>
      </c>
      <c r="L947" s="4">
        <f>IF(TRIM(Raw_Data!L947)="","No Coupon",TRIM(Raw_Data!L947))</f>
        <v/>
      </c>
      <c r="M947" s="4">
        <f>PROPER(TRIM(Raw_Data!M947))</f>
        <v/>
      </c>
      <c r="N947" s="6">
        <f>ROUND(Raw_Data!N947,2)</f>
        <v/>
      </c>
      <c r="O947" s="7">
        <f>IF(COUNTIF($A$2:$A$1201,A947)&gt;1,"DUPLICATE","Unique")</f>
        <v/>
      </c>
      <c r="P947" s="7">
        <f>IF(COUNTIF($J$2:$J$1201,J947)&gt;1,"DUPLICATE","Unique")</f>
        <v/>
      </c>
      <c r="Q947" s="4">
        <f>IF(TRIM(Raw_Data!L947)="","Yes","No")</f>
        <v/>
      </c>
      <c r="R947" s="4">
        <f>IF(ISNUMBER(B947),"Valid","INVALID")</f>
        <v/>
      </c>
    </row>
    <row r="948">
      <c r="A948" s="4">
        <f>TRIM(Raw_Data!A948)</f>
        <v/>
      </c>
      <c r="B948" s="5">
        <f>Raw_Data!B948</f>
        <v/>
      </c>
      <c r="C948" s="4">
        <f>TRIM(Raw_Data!C948)</f>
        <v/>
      </c>
      <c r="D948" s="4">
        <f>PROPER(TRIM(Raw_Data!D948))</f>
        <v/>
      </c>
      <c r="E948" s="4">
        <f>Raw_Data!E948</f>
        <v/>
      </c>
      <c r="F948" s="6">
        <f>ROUND(Raw_Data!F948,2)</f>
        <v/>
      </c>
      <c r="G948" s="4">
        <f>PROPER(TRIM(Raw_Data!G948))</f>
        <v/>
      </c>
      <c r="H948" s="4">
        <f>PROPER(TRIM(Raw_Data!H948))</f>
        <v/>
      </c>
      <c r="I948" s="4">
        <f>PROPER(TRIM(Raw_Data!I948))</f>
        <v/>
      </c>
      <c r="J948" s="4">
        <f>TRIM(Raw_Data!J948)</f>
        <v/>
      </c>
      <c r="K948" s="4">
        <f>Raw_Data!K948</f>
        <v/>
      </c>
      <c r="L948" s="4">
        <f>IF(TRIM(Raw_Data!L948)="","No Coupon",TRIM(Raw_Data!L948))</f>
        <v/>
      </c>
      <c r="M948" s="4">
        <f>PROPER(TRIM(Raw_Data!M948))</f>
        <v/>
      </c>
      <c r="N948" s="6">
        <f>ROUND(Raw_Data!N948,2)</f>
        <v/>
      </c>
      <c r="O948" s="7">
        <f>IF(COUNTIF($A$2:$A$1201,A948)&gt;1,"DUPLICATE","Unique")</f>
        <v/>
      </c>
      <c r="P948" s="7">
        <f>IF(COUNTIF($J$2:$J$1201,J948)&gt;1,"DUPLICATE","Unique")</f>
        <v/>
      </c>
      <c r="Q948" s="4">
        <f>IF(TRIM(Raw_Data!L948)="","Yes","No")</f>
        <v/>
      </c>
      <c r="R948" s="4">
        <f>IF(ISNUMBER(B948),"Valid","INVALID")</f>
        <v/>
      </c>
    </row>
    <row r="949">
      <c r="A949" s="4">
        <f>TRIM(Raw_Data!A949)</f>
        <v/>
      </c>
      <c r="B949" s="5">
        <f>Raw_Data!B949</f>
        <v/>
      </c>
      <c r="C949" s="4">
        <f>TRIM(Raw_Data!C949)</f>
        <v/>
      </c>
      <c r="D949" s="4">
        <f>PROPER(TRIM(Raw_Data!D949))</f>
        <v/>
      </c>
      <c r="E949" s="4">
        <f>Raw_Data!E949</f>
        <v/>
      </c>
      <c r="F949" s="6">
        <f>ROUND(Raw_Data!F949,2)</f>
        <v/>
      </c>
      <c r="G949" s="4">
        <f>PROPER(TRIM(Raw_Data!G949))</f>
        <v/>
      </c>
      <c r="H949" s="4">
        <f>PROPER(TRIM(Raw_Data!H949))</f>
        <v/>
      </c>
      <c r="I949" s="4">
        <f>PROPER(TRIM(Raw_Data!I949))</f>
        <v/>
      </c>
      <c r="J949" s="4">
        <f>TRIM(Raw_Data!J949)</f>
        <v/>
      </c>
      <c r="K949" s="4">
        <f>Raw_Data!K949</f>
        <v/>
      </c>
      <c r="L949" s="4">
        <f>IF(TRIM(Raw_Data!L949)="","No Coupon",TRIM(Raw_Data!L949))</f>
        <v/>
      </c>
      <c r="M949" s="4">
        <f>PROPER(TRIM(Raw_Data!M949))</f>
        <v/>
      </c>
      <c r="N949" s="6">
        <f>ROUND(Raw_Data!N949,2)</f>
        <v/>
      </c>
      <c r="O949" s="7">
        <f>IF(COUNTIF($A$2:$A$1201,A949)&gt;1,"DUPLICATE","Unique")</f>
        <v/>
      </c>
      <c r="P949" s="7">
        <f>IF(COUNTIF($J$2:$J$1201,J949)&gt;1,"DUPLICATE","Unique")</f>
        <v/>
      </c>
      <c r="Q949" s="4">
        <f>IF(TRIM(Raw_Data!L949)="","Yes","No")</f>
        <v/>
      </c>
      <c r="R949" s="4">
        <f>IF(ISNUMBER(B949),"Valid","INVALID")</f>
        <v/>
      </c>
    </row>
    <row r="950">
      <c r="A950" s="4">
        <f>TRIM(Raw_Data!A950)</f>
        <v/>
      </c>
      <c r="B950" s="5">
        <f>Raw_Data!B950</f>
        <v/>
      </c>
      <c r="C950" s="4">
        <f>TRIM(Raw_Data!C950)</f>
        <v/>
      </c>
      <c r="D950" s="4">
        <f>PROPER(TRIM(Raw_Data!D950))</f>
        <v/>
      </c>
      <c r="E950" s="4">
        <f>Raw_Data!E950</f>
        <v/>
      </c>
      <c r="F950" s="6">
        <f>ROUND(Raw_Data!F950,2)</f>
        <v/>
      </c>
      <c r="G950" s="4">
        <f>PROPER(TRIM(Raw_Data!G950))</f>
        <v/>
      </c>
      <c r="H950" s="4">
        <f>PROPER(TRIM(Raw_Data!H950))</f>
        <v/>
      </c>
      <c r="I950" s="4">
        <f>PROPER(TRIM(Raw_Data!I950))</f>
        <v/>
      </c>
      <c r="J950" s="4">
        <f>TRIM(Raw_Data!J950)</f>
        <v/>
      </c>
      <c r="K950" s="4">
        <f>Raw_Data!K950</f>
        <v/>
      </c>
      <c r="L950" s="4">
        <f>IF(TRIM(Raw_Data!L950)="","No Coupon",TRIM(Raw_Data!L950))</f>
        <v/>
      </c>
      <c r="M950" s="4">
        <f>PROPER(TRIM(Raw_Data!M950))</f>
        <v/>
      </c>
      <c r="N950" s="6">
        <f>ROUND(Raw_Data!N950,2)</f>
        <v/>
      </c>
      <c r="O950" s="7">
        <f>IF(COUNTIF($A$2:$A$1201,A950)&gt;1,"DUPLICATE","Unique")</f>
        <v/>
      </c>
      <c r="P950" s="7">
        <f>IF(COUNTIF($J$2:$J$1201,J950)&gt;1,"DUPLICATE","Unique")</f>
        <v/>
      </c>
      <c r="Q950" s="4">
        <f>IF(TRIM(Raw_Data!L950)="","Yes","No")</f>
        <v/>
      </c>
      <c r="R950" s="4">
        <f>IF(ISNUMBER(B950),"Valid","INVALID")</f>
        <v/>
      </c>
    </row>
    <row r="951">
      <c r="A951" s="4">
        <f>TRIM(Raw_Data!A951)</f>
        <v/>
      </c>
      <c r="B951" s="5">
        <f>Raw_Data!B951</f>
        <v/>
      </c>
      <c r="C951" s="4">
        <f>TRIM(Raw_Data!C951)</f>
        <v/>
      </c>
      <c r="D951" s="4">
        <f>PROPER(TRIM(Raw_Data!D951))</f>
        <v/>
      </c>
      <c r="E951" s="4">
        <f>Raw_Data!E951</f>
        <v/>
      </c>
      <c r="F951" s="6">
        <f>ROUND(Raw_Data!F951,2)</f>
        <v/>
      </c>
      <c r="G951" s="4">
        <f>PROPER(TRIM(Raw_Data!G951))</f>
        <v/>
      </c>
      <c r="H951" s="4">
        <f>PROPER(TRIM(Raw_Data!H951))</f>
        <v/>
      </c>
      <c r="I951" s="4">
        <f>PROPER(TRIM(Raw_Data!I951))</f>
        <v/>
      </c>
      <c r="J951" s="4">
        <f>TRIM(Raw_Data!J951)</f>
        <v/>
      </c>
      <c r="K951" s="4">
        <f>Raw_Data!K951</f>
        <v/>
      </c>
      <c r="L951" s="4">
        <f>IF(TRIM(Raw_Data!L951)="","No Coupon",TRIM(Raw_Data!L951))</f>
        <v/>
      </c>
      <c r="M951" s="4">
        <f>PROPER(TRIM(Raw_Data!M951))</f>
        <v/>
      </c>
      <c r="N951" s="6">
        <f>ROUND(Raw_Data!N951,2)</f>
        <v/>
      </c>
      <c r="O951" s="7">
        <f>IF(COUNTIF($A$2:$A$1201,A951)&gt;1,"DUPLICATE","Unique")</f>
        <v/>
      </c>
      <c r="P951" s="7">
        <f>IF(COUNTIF($J$2:$J$1201,J951)&gt;1,"DUPLICATE","Unique")</f>
        <v/>
      </c>
      <c r="Q951" s="4">
        <f>IF(TRIM(Raw_Data!L951)="","Yes","No")</f>
        <v/>
      </c>
      <c r="R951" s="4">
        <f>IF(ISNUMBER(B951),"Valid","INVALID")</f>
        <v/>
      </c>
    </row>
    <row r="952">
      <c r="A952" s="4">
        <f>TRIM(Raw_Data!A952)</f>
        <v/>
      </c>
      <c r="B952" s="5">
        <f>Raw_Data!B952</f>
        <v/>
      </c>
      <c r="C952" s="4">
        <f>TRIM(Raw_Data!C952)</f>
        <v/>
      </c>
      <c r="D952" s="4">
        <f>PROPER(TRIM(Raw_Data!D952))</f>
        <v/>
      </c>
      <c r="E952" s="4">
        <f>Raw_Data!E952</f>
        <v/>
      </c>
      <c r="F952" s="6">
        <f>ROUND(Raw_Data!F952,2)</f>
        <v/>
      </c>
      <c r="G952" s="4">
        <f>PROPER(TRIM(Raw_Data!G952))</f>
        <v/>
      </c>
      <c r="H952" s="4">
        <f>PROPER(TRIM(Raw_Data!H952))</f>
        <v/>
      </c>
      <c r="I952" s="4">
        <f>PROPER(TRIM(Raw_Data!I952))</f>
        <v/>
      </c>
      <c r="J952" s="4">
        <f>TRIM(Raw_Data!J952)</f>
        <v/>
      </c>
      <c r="K952" s="4">
        <f>Raw_Data!K952</f>
        <v/>
      </c>
      <c r="L952" s="4">
        <f>IF(TRIM(Raw_Data!L952)="","No Coupon",TRIM(Raw_Data!L952))</f>
        <v/>
      </c>
      <c r="M952" s="4">
        <f>PROPER(TRIM(Raw_Data!M952))</f>
        <v/>
      </c>
      <c r="N952" s="6">
        <f>ROUND(Raw_Data!N952,2)</f>
        <v/>
      </c>
      <c r="O952" s="7">
        <f>IF(COUNTIF($A$2:$A$1201,A952)&gt;1,"DUPLICATE","Unique")</f>
        <v/>
      </c>
      <c r="P952" s="7">
        <f>IF(COUNTIF($J$2:$J$1201,J952)&gt;1,"DUPLICATE","Unique")</f>
        <v/>
      </c>
      <c r="Q952" s="4">
        <f>IF(TRIM(Raw_Data!L952)="","Yes","No")</f>
        <v/>
      </c>
      <c r="R952" s="4">
        <f>IF(ISNUMBER(B952),"Valid","INVALID")</f>
        <v/>
      </c>
    </row>
    <row r="953">
      <c r="A953" s="4">
        <f>TRIM(Raw_Data!A953)</f>
        <v/>
      </c>
      <c r="B953" s="5">
        <f>Raw_Data!B953</f>
        <v/>
      </c>
      <c r="C953" s="4">
        <f>TRIM(Raw_Data!C953)</f>
        <v/>
      </c>
      <c r="D953" s="4">
        <f>PROPER(TRIM(Raw_Data!D953))</f>
        <v/>
      </c>
      <c r="E953" s="4">
        <f>Raw_Data!E953</f>
        <v/>
      </c>
      <c r="F953" s="6">
        <f>ROUND(Raw_Data!F953,2)</f>
        <v/>
      </c>
      <c r="G953" s="4">
        <f>PROPER(TRIM(Raw_Data!G953))</f>
        <v/>
      </c>
      <c r="H953" s="4">
        <f>PROPER(TRIM(Raw_Data!H953))</f>
        <v/>
      </c>
      <c r="I953" s="4">
        <f>PROPER(TRIM(Raw_Data!I953))</f>
        <v/>
      </c>
      <c r="J953" s="4">
        <f>TRIM(Raw_Data!J953)</f>
        <v/>
      </c>
      <c r="K953" s="4">
        <f>Raw_Data!K953</f>
        <v/>
      </c>
      <c r="L953" s="4">
        <f>IF(TRIM(Raw_Data!L953)="","No Coupon",TRIM(Raw_Data!L953))</f>
        <v/>
      </c>
      <c r="M953" s="4">
        <f>PROPER(TRIM(Raw_Data!M953))</f>
        <v/>
      </c>
      <c r="N953" s="6">
        <f>ROUND(Raw_Data!N953,2)</f>
        <v/>
      </c>
      <c r="O953" s="7">
        <f>IF(COUNTIF($A$2:$A$1201,A953)&gt;1,"DUPLICATE","Unique")</f>
        <v/>
      </c>
      <c r="P953" s="7">
        <f>IF(COUNTIF($J$2:$J$1201,J953)&gt;1,"DUPLICATE","Unique")</f>
        <v/>
      </c>
      <c r="Q953" s="4">
        <f>IF(TRIM(Raw_Data!L953)="","Yes","No")</f>
        <v/>
      </c>
      <c r="R953" s="4">
        <f>IF(ISNUMBER(B953),"Valid","INVALID")</f>
        <v/>
      </c>
    </row>
    <row r="954">
      <c r="A954" s="4">
        <f>TRIM(Raw_Data!A954)</f>
        <v/>
      </c>
      <c r="B954" s="5">
        <f>Raw_Data!B954</f>
        <v/>
      </c>
      <c r="C954" s="4">
        <f>TRIM(Raw_Data!C954)</f>
        <v/>
      </c>
      <c r="D954" s="4">
        <f>PROPER(TRIM(Raw_Data!D954))</f>
        <v/>
      </c>
      <c r="E954" s="4">
        <f>Raw_Data!E954</f>
        <v/>
      </c>
      <c r="F954" s="6">
        <f>ROUND(Raw_Data!F954,2)</f>
        <v/>
      </c>
      <c r="G954" s="4">
        <f>PROPER(TRIM(Raw_Data!G954))</f>
        <v/>
      </c>
      <c r="H954" s="4">
        <f>PROPER(TRIM(Raw_Data!H954))</f>
        <v/>
      </c>
      <c r="I954" s="4">
        <f>PROPER(TRIM(Raw_Data!I954))</f>
        <v/>
      </c>
      <c r="J954" s="4">
        <f>TRIM(Raw_Data!J954)</f>
        <v/>
      </c>
      <c r="K954" s="4">
        <f>Raw_Data!K954</f>
        <v/>
      </c>
      <c r="L954" s="4">
        <f>IF(TRIM(Raw_Data!L954)="","No Coupon",TRIM(Raw_Data!L954))</f>
        <v/>
      </c>
      <c r="M954" s="4">
        <f>PROPER(TRIM(Raw_Data!M954))</f>
        <v/>
      </c>
      <c r="N954" s="6">
        <f>ROUND(Raw_Data!N954,2)</f>
        <v/>
      </c>
      <c r="O954" s="7">
        <f>IF(COUNTIF($A$2:$A$1201,A954)&gt;1,"DUPLICATE","Unique")</f>
        <v/>
      </c>
      <c r="P954" s="7">
        <f>IF(COUNTIF($J$2:$J$1201,J954)&gt;1,"DUPLICATE","Unique")</f>
        <v/>
      </c>
      <c r="Q954" s="4">
        <f>IF(TRIM(Raw_Data!L954)="","Yes","No")</f>
        <v/>
      </c>
      <c r="R954" s="4">
        <f>IF(ISNUMBER(B954),"Valid","INVALID")</f>
        <v/>
      </c>
    </row>
    <row r="955">
      <c r="A955" s="4">
        <f>TRIM(Raw_Data!A955)</f>
        <v/>
      </c>
      <c r="B955" s="5">
        <f>Raw_Data!B955</f>
        <v/>
      </c>
      <c r="C955" s="4">
        <f>TRIM(Raw_Data!C955)</f>
        <v/>
      </c>
      <c r="D955" s="4">
        <f>PROPER(TRIM(Raw_Data!D955))</f>
        <v/>
      </c>
      <c r="E955" s="4">
        <f>Raw_Data!E955</f>
        <v/>
      </c>
      <c r="F955" s="6">
        <f>ROUND(Raw_Data!F955,2)</f>
        <v/>
      </c>
      <c r="G955" s="4">
        <f>PROPER(TRIM(Raw_Data!G955))</f>
        <v/>
      </c>
      <c r="H955" s="4">
        <f>PROPER(TRIM(Raw_Data!H955))</f>
        <v/>
      </c>
      <c r="I955" s="4">
        <f>PROPER(TRIM(Raw_Data!I955))</f>
        <v/>
      </c>
      <c r="J955" s="4">
        <f>TRIM(Raw_Data!J955)</f>
        <v/>
      </c>
      <c r="K955" s="4">
        <f>Raw_Data!K955</f>
        <v/>
      </c>
      <c r="L955" s="4">
        <f>IF(TRIM(Raw_Data!L955)="","No Coupon",TRIM(Raw_Data!L955))</f>
        <v/>
      </c>
      <c r="M955" s="4">
        <f>PROPER(TRIM(Raw_Data!M955))</f>
        <v/>
      </c>
      <c r="N955" s="6">
        <f>ROUND(Raw_Data!N955,2)</f>
        <v/>
      </c>
      <c r="O955" s="7">
        <f>IF(COUNTIF($A$2:$A$1201,A955)&gt;1,"DUPLICATE","Unique")</f>
        <v/>
      </c>
      <c r="P955" s="7">
        <f>IF(COUNTIF($J$2:$J$1201,J955)&gt;1,"DUPLICATE","Unique")</f>
        <v/>
      </c>
      <c r="Q955" s="4">
        <f>IF(TRIM(Raw_Data!L955)="","Yes","No")</f>
        <v/>
      </c>
      <c r="R955" s="4">
        <f>IF(ISNUMBER(B955),"Valid","INVALID")</f>
        <v/>
      </c>
    </row>
    <row r="956">
      <c r="A956" s="4">
        <f>TRIM(Raw_Data!A956)</f>
        <v/>
      </c>
      <c r="B956" s="5">
        <f>Raw_Data!B956</f>
        <v/>
      </c>
      <c r="C956" s="4">
        <f>TRIM(Raw_Data!C956)</f>
        <v/>
      </c>
      <c r="D956" s="4">
        <f>PROPER(TRIM(Raw_Data!D956))</f>
        <v/>
      </c>
      <c r="E956" s="4">
        <f>Raw_Data!E956</f>
        <v/>
      </c>
      <c r="F956" s="6">
        <f>ROUND(Raw_Data!F956,2)</f>
        <v/>
      </c>
      <c r="G956" s="4">
        <f>PROPER(TRIM(Raw_Data!G956))</f>
        <v/>
      </c>
      <c r="H956" s="4">
        <f>PROPER(TRIM(Raw_Data!H956))</f>
        <v/>
      </c>
      <c r="I956" s="4">
        <f>PROPER(TRIM(Raw_Data!I956))</f>
        <v/>
      </c>
      <c r="J956" s="4">
        <f>TRIM(Raw_Data!J956)</f>
        <v/>
      </c>
      <c r="K956" s="4">
        <f>Raw_Data!K956</f>
        <v/>
      </c>
      <c r="L956" s="4">
        <f>IF(TRIM(Raw_Data!L956)="","No Coupon",TRIM(Raw_Data!L956))</f>
        <v/>
      </c>
      <c r="M956" s="4">
        <f>PROPER(TRIM(Raw_Data!M956))</f>
        <v/>
      </c>
      <c r="N956" s="6">
        <f>ROUND(Raw_Data!N956,2)</f>
        <v/>
      </c>
      <c r="O956" s="7">
        <f>IF(COUNTIF($A$2:$A$1201,A956)&gt;1,"DUPLICATE","Unique")</f>
        <v/>
      </c>
      <c r="P956" s="7">
        <f>IF(COUNTIF($J$2:$J$1201,J956)&gt;1,"DUPLICATE","Unique")</f>
        <v/>
      </c>
      <c r="Q956" s="4">
        <f>IF(TRIM(Raw_Data!L956)="","Yes","No")</f>
        <v/>
      </c>
      <c r="R956" s="4">
        <f>IF(ISNUMBER(B956),"Valid","INVALID")</f>
        <v/>
      </c>
    </row>
    <row r="957">
      <c r="A957" s="4">
        <f>TRIM(Raw_Data!A957)</f>
        <v/>
      </c>
      <c r="B957" s="5">
        <f>Raw_Data!B957</f>
        <v/>
      </c>
      <c r="C957" s="4">
        <f>TRIM(Raw_Data!C957)</f>
        <v/>
      </c>
      <c r="D957" s="4">
        <f>PROPER(TRIM(Raw_Data!D957))</f>
        <v/>
      </c>
      <c r="E957" s="4">
        <f>Raw_Data!E957</f>
        <v/>
      </c>
      <c r="F957" s="6">
        <f>ROUND(Raw_Data!F957,2)</f>
        <v/>
      </c>
      <c r="G957" s="4">
        <f>PROPER(TRIM(Raw_Data!G957))</f>
        <v/>
      </c>
      <c r="H957" s="4">
        <f>PROPER(TRIM(Raw_Data!H957))</f>
        <v/>
      </c>
      <c r="I957" s="4">
        <f>PROPER(TRIM(Raw_Data!I957))</f>
        <v/>
      </c>
      <c r="J957" s="4">
        <f>TRIM(Raw_Data!J957)</f>
        <v/>
      </c>
      <c r="K957" s="4">
        <f>Raw_Data!K957</f>
        <v/>
      </c>
      <c r="L957" s="4">
        <f>IF(TRIM(Raw_Data!L957)="","No Coupon",TRIM(Raw_Data!L957))</f>
        <v/>
      </c>
      <c r="M957" s="4">
        <f>PROPER(TRIM(Raw_Data!M957))</f>
        <v/>
      </c>
      <c r="N957" s="6">
        <f>ROUND(Raw_Data!N957,2)</f>
        <v/>
      </c>
      <c r="O957" s="7">
        <f>IF(COUNTIF($A$2:$A$1201,A957)&gt;1,"DUPLICATE","Unique")</f>
        <v/>
      </c>
      <c r="P957" s="7">
        <f>IF(COUNTIF($J$2:$J$1201,J957)&gt;1,"DUPLICATE","Unique")</f>
        <v/>
      </c>
      <c r="Q957" s="4">
        <f>IF(TRIM(Raw_Data!L957)="","Yes","No")</f>
        <v/>
      </c>
      <c r="R957" s="4">
        <f>IF(ISNUMBER(B957),"Valid","INVALID")</f>
        <v/>
      </c>
    </row>
    <row r="958">
      <c r="A958" s="4">
        <f>TRIM(Raw_Data!A958)</f>
        <v/>
      </c>
      <c r="B958" s="5">
        <f>Raw_Data!B958</f>
        <v/>
      </c>
      <c r="C958" s="4">
        <f>TRIM(Raw_Data!C958)</f>
        <v/>
      </c>
      <c r="D958" s="4">
        <f>PROPER(TRIM(Raw_Data!D958))</f>
        <v/>
      </c>
      <c r="E958" s="4">
        <f>Raw_Data!E958</f>
        <v/>
      </c>
      <c r="F958" s="6">
        <f>ROUND(Raw_Data!F958,2)</f>
        <v/>
      </c>
      <c r="G958" s="4">
        <f>PROPER(TRIM(Raw_Data!G958))</f>
        <v/>
      </c>
      <c r="H958" s="4">
        <f>PROPER(TRIM(Raw_Data!H958))</f>
        <v/>
      </c>
      <c r="I958" s="4">
        <f>PROPER(TRIM(Raw_Data!I958))</f>
        <v/>
      </c>
      <c r="J958" s="4">
        <f>TRIM(Raw_Data!J958)</f>
        <v/>
      </c>
      <c r="K958" s="4">
        <f>Raw_Data!K958</f>
        <v/>
      </c>
      <c r="L958" s="4">
        <f>IF(TRIM(Raw_Data!L958)="","No Coupon",TRIM(Raw_Data!L958))</f>
        <v/>
      </c>
      <c r="M958" s="4">
        <f>PROPER(TRIM(Raw_Data!M958))</f>
        <v/>
      </c>
      <c r="N958" s="6">
        <f>ROUND(Raw_Data!N958,2)</f>
        <v/>
      </c>
      <c r="O958" s="7">
        <f>IF(COUNTIF($A$2:$A$1201,A958)&gt;1,"DUPLICATE","Unique")</f>
        <v/>
      </c>
      <c r="P958" s="7">
        <f>IF(COUNTIF($J$2:$J$1201,J958)&gt;1,"DUPLICATE","Unique")</f>
        <v/>
      </c>
      <c r="Q958" s="4">
        <f>IF(TRIM(Raw_Data!L958)="","Yes","No")</f>
        <v/>
      </c>
      <c r="R958" s="4">
        <f>IF(ISNUMBER(B958),"Valid","INVALID")</f>
        <v/>
      </c>
    </row>
    <row r="959">
      <c r="A959" s="4">
        <f>TRIM(Raw_Data!A959)</f>
        <v/>
      </c>
      <c r="B959" s="5">
        <f>Raw_Data!B959</f>
        <v/>
      </c>
      <c r="C959" s="4">
        <f>TRIM(Raw_Data!C959)</f>
        <v/>
      </c>
      <c r="D959" s="4">
        <f>PROPER(TRIM(Raw_Data!D959))</f>
        <v/>
      </c>
      <c r="E959" s="4">
        <f>Raw_Data!E959</f>
        <v/>
      </c>
      <c r="F959" s="6">
        <f>ROUND(Raw_Data!F959,2)</f>
        <v/>
      </c>
      <c r="G959" s="4">
        <f>PROPER(TRIM(Raw_Data!G959))</f>
        <v/>
      </c>
      <c r="H959" s="4">
        <f>PROPER(TRIM(Raw_Data!H959))</f>
        <v/>
      </c>
      <c r="I959" s="4">
        <f>PROPER(TRIM(Raw_Data!I959))</f>
        <v/>
      </c>
      <c r="J959" s="4">
        <f>TRIM(Raw_Data!J959)</f>
        <v/>
      </c>
      <c r="K959" s="4">
        <f>Raw_Data!K959</f>
        <v/>
      </c>
      <c r="L959" s="4">
        <f>IF(TRIM(Raw_Data!L959)="","No Coupon",TRIM(Raw_Data!L959))</f>
        <v/>
      </c>
      <c r="M959" s="4">
        <f>PROPER(TRIM(Raw_Data!M959))</f>
        <v/>
      </c>
      <c r="N959" s="6">
        <f>ROUND(Raw_Data!N959,2)</f>
        <v/>
      </c>
      <c r="O959" s="7">
        <f>IF(COUNTIF($A$2:$A$1201,A959)&gt;1,"DUPLICATE","Unique")</f>
        <v/>
      </c>
      <c r="P959" s="7">
        <f>IF(COUNTIF($J$2:$J$1201,J959)&gt;1,"DUPLICATE","Unique")</f>
        <v/>
      </c>
      <c r="Q959" s="4">
        <f>IF(TRIM(Raw_Data!L959)="","Yes","No")</f>
        <v/>
      </c>
      <c r="R959" s="4">
        <f>IF(ISNUMBER(B959),"Valid","INVALID")</f>
        <v/>
      </c>
    </row>
    <row r="960">
      <c r="A960" s="4">
        <f>TRIM(Raw_Data!A960)</f>
        <v/>
      </c>
      <c r="B960" s="5">
        <f>Raw_Data!B960</f>
        <v/>
      </c>
      <c r="C960" s="4">
        <f>TRIM(Raw_Data!C960)</f>
        <v/>
      </c>
      <c r="D960" s="4">
        <f>PROPER(TRIM(Raw_Data!D960))</f>
        <v/>
      </c>
      <c r="E960" s="4">
        <f>Raw_Data!E960</f>
        <v/>
      </c>
      <c r="F960" s="6">
        <f>ROUND(Raw_Data!F960,2)</f>
        <v/>
      </c>
      <c r="G960" s="4">
        <f>PROPER(TRIM(Raw_Data!G960))</f>
        <v/>
      </c>
      <c r="H960" s="4">
        <f>PROPER(TRIM(Raw_Data!H960))</f>
        <v/>
      </c>
      <c r="I960" s="4">
        <f>PROPER(TRIM(Raw_Data!I960))</f>
        <v/>
      </c>
      <c r="J960" s="4">
        <f>TRIM(Raw_Data!J960)</f>
        <v/>
      </c>
      <c r="K960" s="4">
        <f>Raw_Data!K960</f>
        <v/>
      </c>
      <c r="L960" s="4">
        <f>IF(TRIM(Raw_Data!L960)="","No Coupon",TRIM(Raw_Data!L960))</f>
        <v/>
      </c>
      <c r="M960" s="4">
        <f>PROPER(TRIM(Raw_Data!M960))</f>
        <v/>
      </c>
      <c r="N960" s="6">
        <f>ROUND(Raw_Data!N960,2)</f>
        <v/>
      </c>
      <c r="O960" s="7">
        <f>IF(COUNTIF($A$2:$A$1201,A960)&gt;1,"DUPLICATE","Unique")</f>
        <v/>
      </c>
      <c r="P960" s="7">
        <f>IF(COUNTIF($J$2:$J$1201,J960)&gt;1,"DUPLICATE","Unique")</f>
        <v/>
      </c>
      <c r="Q960" s="4">
        <f>IF(TRIM(Raw_Data!L960)="","Yes","No")</f>
        <v/>
      </c>
      <c r="R960" s="4">
        <f>IF(ISNUMBER(B960),"Valid","INVALID")</f>
        <v/>
      </c>
    </row>
    <row r="961">
      <c r="A961" s="4">
        <f>TRIM(Raw_Data!A961)</f>
        <v/>
      </c>
      <c r="B961" s="5">
        <f>Raw_Data!B961</f>
        <v/>
      </c>
      <c r="C961" s="4">
        <f>TRIM(Raw_Data!C961)</f>
        <v/>
      </c>
      <c r="D961" s="4">
        <f>PROPER(TRIM(Raw_Data!D961))</f>
        <v/>
      </c>
      <c r="E961" s="4">
        <f>Raw_Data!E961</f>
        <v/>
      </c>
      <c r="F961" s="6">
        <f>ROUND(Raw_Data!F961,2)</f>
        <v/>
      </c>
      <c r="G961" s="4">
        <f>PROPER(TRIM(Raw_Data!G961))</f>
        <v/>
      </c>
      <c r="H961" s="4">
        <f>PROPER(TRIM(Raw_Data!H961))</f>
        <v/>
      </c>
      <c r="I961" s="4">
        <f>PROPER(TRIM(Raw_Data!I961))</f>
        <v/>
      </c>
      <c r="J961" s="4">
        <f>TRIM(Raw_Data!J961)</f>
        <v/>
      </c>
      <c r="K961" s="4">
        <f>Raw_Data!K961</f>
        <v/>
      </c>
      <c r="L961" s="4">
        <f>IF(TRIM(Raw_Data!L961)="","No Coupon",TRIM(Raw_Data!L961))</f>
        <v/>
      </c>
      <c r="M961" s="4">
        <f>PROPER(TRIM(Raw_Data!M961))</f>
        <v/>
      </c>
      <c r="N961" s="6">
        <f>ROUND(Raw_Data!N961,2)</f>
        <v/>
      </c>
      <c r="O961" s="7">
        <f>IF(COUNTIF($A$2:$A$1201,A961)&gt;1,"DUPLICATE","Unique")</f>
        <v/>
      </c>
      <c r="P961" s="7">
        <f>IF(COUNTIF($J$2:$J$1201,J961)&gt;1,"DUPLICATE","Unique")</f>
        <v/>
      </c>
      <c r="Q961" s="4">
        <f>IF(TRIM(Raw_Data!L961)="","Yes","No")</f>
        <v/>
      </c>
      <c r="R961" s="4">
        <f>IF(ISNUMBER(B961),"Valid","INVALID")</f>
        <v/>
      </c>
    </row>
    <row r="962">
      <c r="A962" s="4">
        <f>TRIM(Raw_Data!A962)</f>
        <v/>
      </c>
      <c r="B962" s="5">
        <f>Raw_Data!B962</f>
        <v/>
      </c>
      <c r="C962" s="4">
        <f>TRIM(Raw_Data!C962)</f>
        <v/>
      </c>
      <c r="D962" s="4">
        <f>PROPER(TRIM(Raw_Data!D962))</f>
        <v/>
      </c>
      <c r="E962" s="4">
        <f>Raw_Data!E962</f>
        <v/>
      </c>
      <c r="F962" s="6">
        <f>ROUND(Raw_Data!F962,2)</f>
        <v/>
      </c>
      <c r="G962" s="4">
        <f>PROPER(TRIM(Raw_Data!G962))</f>
        <v/>
      </c>
      <c r="H962" s="4">
        <f>PROPER(TRIM(Raw_Data!H962))</f>
        <v/>
      </c>
      <c r="I962" s="4">
        <f>PROPER(TRIM(Raw_Data!I962))</f>
        <v/>
      </c>
      <c r="J962" s="4">
        <f>TRIM(Raw_Data!J962)</f>
        <v/>
      </c>
      <c r="K962" s="4">
        <f>Raw_Data!K962</f>
        <v/>
      </c>
      <c r="L962" s="4">
        <f>IF(TRIM(Raw_Data!L962)="","No Coupon",TRIM(Raw_Data!L962))</f>
        <v/>
      </c>
      <c r="M962" s="4">
        <f>PROPER(TRIM(Raw_Data!M962))</f>
        <v/>
      </c>
      <c r="N962" s="6">
        <f>ROUND(Raw_Data!N962,2)</f>
        <v/>
      </c>
      <c r="O962" s="7">
        <f>IF(COUNTIF($A$2:$A$1201,A962)&gt;1,"DUPLICATE","Unique")</f>
        <v/>
      </c>
      <c r="P962" s="7">
        <f>IF(COUNTIF($J$2:$J$1201,J962)&gt;1,"DUPLICATE","Unique")</f>
        <v/>
      </c>
      <c r="Q962" s="4">
        <f>IF(TRIM(Raw_Data!L962)="","Yes","No")</f>
        <v/>
      </c>
      <c r="R962" s="4">
        <f>IF(ISNUMBER(B962),"Valid","INVALID")</f>
        <v/>
      </c>
    </row>
    <row r="963">
      <c r="A963" s="4">
        <f>TRIM(Raw_Data!A963)</f>
        <v/>
      </c>
      <c r="B963" s="5">
        <f>Raw_Data!B963</f>
        <v/>
      </c>
      <c r="C963" s="4">
        <f>TRIM(Raw_Data!C963)</f>
        <v/>
      </c>
      <c r="D963" s="4">
        <f>PROPER(TRIM(Raw_Data!D963))</f>
        <v/>
      </c>
      <c r="E963" s="4">
        <f>Raw_Data!E963</f>
        <v/>
      </c>
      <c r="F963" s="6">
        <f>ROUND(Raw_Data!F963,2)</f>
        <v/>
      </c>
      <c r="G963" s="4">
        <f>PROPER(TRIM(Raw_Data!G963))</f>
        <v/>
      </c>
      <c r="H963" s="4">
        <f>PROPER(TRIM(Raw_Data!H963))</f>
        <v/>
      </c>
      <c r="I963" s="4">
        <f>PROPER(TRIM(Raw_Data!I963))</f>
        <v/>
      </c>
      <c r="J963" s="4">
        <f>TRIM(Raw_Data!J963)</f>
        <v/>
      </c>
      <c r="K963" s="4">
        <f>Raw_Data!K963</f>
        <v/>
      </c>
      <c r="L963" s="4">
        <f>IF(TRIM(Raw_Data!L963)="","No Coupon",TRIM(Raw_Data!L963))</f>
        <v/>
      </c>
      <c r="M963" s="4">
        <f>PROPER(TRIM(Raw_Data!M963))</f>
        <v/>
      </c>
      <c r="N963" s="6">
        <f>ROUND(Raw_Data!N963,2)</f>
        <v/>
      </c>
      <c r="O963" s="7">
        <f>IF(COUNTIF($A$2:$A$1201,A963)&gt;1,"DUPLICATE","Unique")</f>
        <v/>
      </c>
      <c r="P963" s="7">
        <f>IF(COUNTIF($J$2:$J$1201,J963)&gt;1,"DUPLICATE","Unique")</f>
        <v/>
      </c>
      <c r="Q963" s="4">
        <f>IF(TRIM(Raw_Data!L963)="","Yes","No")</f>
        <v/>
      </c>
      <c r="R963" s="4">
        <f>IF(ISNUMBER(B963),"Valid","INVALID")</f>
        <v/>
      </c>
    </row>
    <row r="964">
      <c r="A964" s="4">
        <f>TRIM(Raw_Data!A964)</f>
        <v/>
      </c>
      <c r="B964" s="5">
        <f>Raw_Data!B964</f>
        <v/>
      </c>
      <c r="C964" s="4">
        <f>TRIM(Raw_Data!C964)</f>
        <v/>
      </c>
      <c r="D964" s="4">
        <f>PROPER(TRIM(Raw_Data!D964))</f>
        <v/>
      </c>
      <c r="E964" s="4">
        <f>Raw_Data!E964</f>
        <v/>
      </c>
      <c r="F964" s="6">
        <f>ROUND(Raw_Data!F964,2)</f>
        <v/>
      </c>
      <c r="G964" s="4">
        <f>PROPER(TRIM(Raw_Data!G964))</f>
        <v/>
      </c>
      <c r="H964" s="4">
        <f>PROPER(TRIM(Raw_Data!H964))</f>
        <v/>
      </c>
      <c r="I964" s="4">
        <f>PROPER(TRIM(Raw_Data!I964))</f>
        <v/>
      </c>
      <c r="J964" s="4">
        <f>TRIM(Raw_Data!J964)</f>
        <v/>
      </c>
      <c r="K964" s="4">
        <f>Raw_Data!K964</f>
        <v/>
      </c>
      <c r="L964" s="4">
        <f>IF(TRIM(Raw_Data!L964)="","No Coupon",TRIM(Raw_Data!L964))</f>
        <v/>
      </c>
      <c r="M964" s="4">
        <f>PROPER(TRIM(Raw_Data!M964))</f>
        <v/>
      </c>
      <c r="N964" s="6">
        <f>ROUND(Raw_Data!N964,2)</f>
        <v/>
      </c>
      <c r="O964" s="7">
        <f>IF(COUNTIF($A$2:$A$1201,A964)&gt;1,"DUPLICATE","Unique")</f>
        <v/>
      </c>
      <c r="P964" s="7">
        <f>IF(COUNTIF($J$2:$J$1201,J964)&gt;1,"DUPLICATE","Unique")</f>
        <v/>
      </c>
      <c r="Q964" s="4">
        <f>IF(TRIM(Raw_Data!L964)="","Yes","No")</f>
        <v/>
      </c>
      <c r="R964" s="4">
        <f>IF(ISNUMBER(B964),"Valid","INVALID")</f>
        <v/>
      </c>
    </row>
    <row r="965">
      <c r="A965" s="4">
        <f>TRIM(Raw_Data!A965)</f>
        <v/>
      </c>
      <c r="B965" s="5">
        <f>Raw_Data!B965</f>
        <v/>
      </c>
      <c r="C965" s="4">
        <f>TRIM(Raw_Data!C965)</f>
        <v/>
      </c>
      <c r="D965" s="4">
        <f>PROPER(TRIM(Raw_Data!D965))</f>
        <v/>
      </c>
      <c r="E965" s="4">
        <f>Raw_Data!E965</f>
        <v/>
      </c>
      <c r="F965" s="6">
        <f>ROUND(Raw_Data!F965,2)</f>
        <v/>
      </c>
      <c r="G965" s="4">
        <f>PROPER(TRIM(Raw_Data!G965))</f>
        <v/>
      </c>
      <c r="H965" s="4">
        <f>PROPER(TRIM(Raw_Data!H965))</f>
        <v/>
      </c>
      <c r="I965" s="4">
        <f>PROPER(TRIM(Raw_Data!I965))</f>
        <v/>
      </c>
      <c r="J965" s="4">
        <f>TRIM(Raw_Data!J965)</f>
        <v/>
      </c>
      <c r="K965" s="4">
        <f>Raw_Data!K965</f>
        <v/>
      </c>
      <c r="L965" s="4">
        <f>IF(TRIM(Raw_Data!L965)="","No Coupon",TRIM(Raw_Data!L965))</f>
        <v/>
      </c>
      <c r="M965" s="4">
        <f>PROPER(TRIM(Raw_Data!M965))</f>
        <v/>
      </c>
      <c r="N965" s="6">
        <f>ROUND(Raw_Data!N965,2)</f>
        <v/>
      </c>
      <c r="O965" s="7">
        <f>IF(COUNTIF($A$2:$A$1201,A965)&gt;1,"DUPLICATE","Unique")</f>
        <v/>
      </c>
      <c r="P965" s="7">
        <f>IF(COUNTIF($J$2:$J$1201,J965)&gt;1,"DUPLICATE","Unique")</f>
        <v/>
      </c>
      <c r="Q965" s="4">
        <f>IF(TRIM(Raw_Data!L965)="","Yes","No")</f>
        <v/>
      </c>
      <c r="R965" s="4">
        <f>IF(ISNUMBER(B965),"Valid","INVALID")</f>
        <v/>
      </c>
    </row>
    <row r="966">
      <c r="A966" s="4">
        <f>TRIM(Raw_Data!A966)</f>
        <v/>
      </c>
      <c r="B966" s="5">
        <f>Raw_Data!B966</f>
        <v/>
      </c>
      <c r="C966" s="4">
        <f>TRIM(Raw_Data!C966)</f>
        <v/>
      </c>
      <c r="D966" s="4">
        <f>PROPER(TRIM(Raw_Data!D966))</f>
        <v/>
      </c>
      <c r="E966" s="4">
        <f>Raw_Data!E966</f>
        <v/>
      </c>
      <c r="F966" s="6">
        <f>ROUND(Raw_Data!F966,2)</f>
        <v/>
      </c>
      <c r="G966" s="4">
        <f>PROPER(TRIM(Raw_Data!G966))</f>
        <v/>
      </c>
      <c r="H966" s="4">
        <f>PROPER(TRIM(Raw_Data!H966))</f>
        <v/>
      </c>
      <c r="I966" s="4">
        <f>PROPER(TRIM(Raw_Data!I966))</f>
        <v/>
      </c>
      <c r="J966" s="4">
        <f>TRIM(Raw_Data!J966)</f>
        <v/>
      </c>
      <c r="K966" s="4">
        <f>Raw_Data!K966</f>
        <v/>
      </c>
      <c r="L966" s="4">
        <f>IF(TRIM(Raw_Data!L966)="","No Coupon",TRIM(Raw_Data!L966))</f>
        <v/>
      </c>
      <c r="M966" s="4">
        <f>PROPER(TRIM(Raw_Data!M966))</f>
        <v/>
      </c>
      <c r="N966" s="6">
        <f>ROUND(Raw_Data!N966,2)</f>
        <v/>
      </c>
      <c r="O966" s="7">
        <f>IF(COUNTIF($A$2:$A$1201,A966)&gt;1,"DUPLICATE","Unique")</f>
        <v/>
      </c>
      <c r="P966" s="7">
        <f>IF(COUNTIF($J$2:$J$1201,J966)&gt;1,"DUPLICATE","Unique")</f>
        <v/>
      </c>
      <c r="Q966" s="4">
        <f>IF(TRIM(Raw_Data!L966)="","Yes","No")</f>
        <v/>
      </c>
      <c r="R966" s="4">
        <f>IF(ISNUMBER(B966),"Valid","INVALID")</f>
        <v/>
      </c>
    </row>
    <row r="967">
      <c r="A967" s="4">
        <f>TRIM(Raw_Data!A967)</f>
        <v/>
      </c>
      <c r="B967" s="5">
        <f>Raw_Data!B967</f>
        <v/>
      </c>
      <c r="C967" s="4">
        <f>TRIM(Raw_Data!C967)</f>
        <v/>
      </c>
      <c r="D967" s="4">
        <f>PROPER(TRIM(Raw_Data!D967))</f>
        <v/>
      </c>
      <c r="E967" s="4">
        <f>Raw_Data!E967</f>
        <v/>
      </c>
      <c r="F967" s="6">
        <f>ROUND(Raw_Data!F967,2)</f>
        <v/>
      </c>
      <c r="G967" s="4">
        <f>PROPER(TRIM(Raw_Data!G967))</f>
        <v/>
      </c>
      <c r="H967" s="4">
        <f>PROPER(TRIM(Raw_Data!H967))</f>
        <v/>
      </c>
      <c r="I967" s="4">
        <f>PROPER(TRIM(Raw_Data!I967))</f>
        <v/>
      </c>
      <c r="J967" s="4">
        <f>TRIM(Raw_Data!J967)</f>
        <v/>
      </c>
      <c r="K967" s="4">
        <f>Raw_Data!K967</f>
        <v/>
      </c>
      <c r="L967" s="4">
        <f>IF(TRIM(Raw_Data!L967)="","No Coupon",TRIM(Raw_Data!L967))</f>
        <v/>
      </c>
      <c r="M967" s="4">
        <f>PROPER(TRIM(Raw_Data!M967))</f>
        <v/>
      </c>
      <c r="N967" s="6">
        <f>ROUND(Raw_Data!N967,2)</f>
        <v/>
      </c>
      <c r="O967" s="7">
        <f>IF(COUNTIF($A$2:$A$1201,A967)&gt;1,"DUPLICATE","Unique")</f>
        <v/>
      </c>
      <c r="P967" s="7">
        <f>IF(COUNTIF($J$2:$J$1201,J967)&gt;1,"DUPLICATE","Unique")</f>
        <v/>
      </c>
      <c r="Q967" s="4">
        <f>IF(TRIM(Raw_Data!L967)="","Yes","No")</f>
        <v/>
      </c>
      <c r="R967" s="4">
        <f>IF(ISNUMBER(B967),"Valid","INVALID")</f>
        <v/>
      </c>
    </row>
    <row r="968">
      <c r="A968" s="4">
        <f>TRIM(Raw_Data!A968)</f>
        <v/>
      </c>
      <c r="B968" s="5">
        <f>Raw_Data!B968</f>
        <v/>
      </c>
      <c r="C968" s="4">
        <f>TRIM(Raw_Data!C968)</f>
        <v/>
      </c>
      <c r="D968" s="4">
        <f>PROPER(TRIM(Raw_Data!D968))</f>
        <v/>
      </c>
      <c r="E968" s="4">
        <f>Raw_Data!E968</f>
        <v/>
      </c>
      <c r="F968" s="6">
        <f>ROUND(Raw_Data!F968,2)</f>
        <v/>
      </c>
      <c r="G968" s="4">
        <f>PROPER(TRIM(Raw_Data!G968))</f>
        <v/>
      </c>
      <c r="H968" s="4">
        <f>PROPER(TRIM(Raw_Data!H968))</f>
        <v/>
      </c>
      <c r="I968" s="4">
        <f>PROPER(TRIM(Raw_Data!I968))</f>
        <v/>
      </c>
      <c r="J968" s="4">
        <f>TRIM(Raw_Data!J968)</f>
        <v/>
      </c>
      <c r="K968" s="4">
        <f>Raw_Data!K968</f>
        <v/>
      </c>
      <c r="L968" s="4">
        <f>IF(TRIM(Raw_Data!L968)="","No Coupon",TRIM(Raw_Data!L968))</f>
        <v/>
      </c>
      <c r="M968" s="4">
        <f>PROPER(TRIM(Raw_Data!M968))</f>
        <v/>
      </c>
      <c r="N968" s="6">
        <f>ROUND(Raw_Data!N968,2)</f>
        <v/>
      </c>
      <c r="O968" s="7">
        <f>IF(COUNTIF($A$2:$A$1201,A968)&gt;1,"DUPLICATE","Unique")</f>
        <v/>
      </c>
      <c r="P968" s="7">
        <f>IF(COUNTIF($J$2:$J$1201,J968)&gt;1,"DUPLICATE","Unique")</f>
        <v/>
      </c>
      <c r="Q968" s="4">
        <f>IF(TRIM(Raw_Data!L968)="","Yes","No")</f>
        <v/>
      </c>
      <c r="R968" s="4">
        <f>IF(ISNUMBER(B968),"Valid","INVALID")</f>
        <v/>
      </c>
    </row>
    <row r="969">
      <c r="A969" s="4">
        <f>TRIM(Raw_Data!A969)</f>
        <v/>
      </c>
      <c r="B969" s="5">
        <f>Raw_Data!B969</f>
        <v/>
      </c>
      <c r="C969" s="4">
        <f>TRIM(Raw_Data!C969)</f>
        <v/>
      </c>
      <c r="D969" s="4">
        <f>PROPER(TRIM(Raw_Data!D969))</f>
        <v/>
      </c>
      <c r="E969" s="4">
        <f>Raw_Data!E969</f>
        <v/>
      </c>
      <c r="F969" s="6">
        <f>ROUND(Raw_Data!F969,2)</f>
        <v/>
      </c>
      <c r="G969" s="4">
        <f>PROPER(TRIM(Raw_Data!G969))</f>
        <v/>
      </c>
      <c r="H969" s="4">
        <f>PROPER(TRIM(Raw_Data!H969))</f>
        <v/>
      </c>
      <c r="I969" s="4">
        <f>PROPER(TRIM(Raw_Data!I969))</f>
        <v/>
      </c>
      <c r="J969" s="4">
        <f>TRIM(Raw_Data!J969)</f>
        <v/>
      </c>
      <c r="K969" s="4">
        <f>Raw_Data!K969</f>
        <v/>
      </c>
      <c r="L969" s="4">
        <f>IF(TRIM(Raw_Data!L969)="","No Coupon",TRIM(Raw_Data!L969))</f>
        <v/>
      </c>
      <c r="M969" s="4">
        <f>PROPER(TRIM(Raw_Data!M969))</f>
        <v/>
      </c>
      <c r="N969" s="6">
        <f>ROUND(Raw_Data!N969,2)</f>
        <v/>
      </c>
      <c r="O969" s="7">
        <f>IF(COUNTIF($A$2:$A$1201,A969)&gt;1,"DUPLICATE","Unique")</f>
        <v/>
      </c>
      <c r="P969" s="7">
        <f>IF(COUNTIF($J$2:$J$1201,J969)&gt;1,"DUPLICATE","Unique")</f>
        <v/>
      </c>
      <c r="Q969" s="4">
        <f>IF(TRIM(Raw_Data!L969)="","Yes","No")</f>
        <v/>
      </c>
      <c r="R969" s="4">
        <f>IF(ISNUMBER(B969),"Valid","INVALID")</f>
        <v/>
      </c>
    </row>
    <row r="970">
      <c r="A970" s="4">
        <f>TRIM(Raw_Data!A970)</f>
        <v/>
      </c>
      <c r="B970" s="5">
        <f>Raw_Data!B970</f>
        <v/>
      </c>
      <c r="C970" s="4">
        <f>TRIM(Raw_Data!C970)</f>
        <v/>
      </c>
      <c r="D970" s="4">
        <f>PROPER(TRIM(Raw_Data!D970))</f>
        <v/>
      </c>
      <c r="E970" s="4">
        <f>Raw_Data!E970</f>
        <v/>
      </c>
      <c r="F970" s="6">
        <f>ROUND(Raw_Data!F970,2)</f>
        <v/>
      </c>
      <c r="G970" s="4">
        <f>PROPER(TRIM(Raw_Data!G970))</f>
        <v/>
      </c>
      <c r="H970" s="4">
        <f>PROPER(TRIM(Raw_Data!H970))</f>
        <v/>
      </c>
      <c r="I970" s="4">
        <f>PROPER(TRIM(Raw_Data!I970))</f>
        <v/>
      </c>
      <c r="J970" s="4">
        <f>TRIM(Raw_Data!J970)</f>
        <v/>
      </c>
      <c r="K970" s="4">
        <f>Raw_Data!K970</f>
        <v/>
      </c>
      <c r="L970" s="4">
        <f>IF(TRIM(Raw_Data!L970)="","No Coupon",TRIM(Raw_Data!L970))</f>
        <v/>
      </c>
      <c r="M970" s="4">
        <f>PROPER(TRIM(Raw_Data!M970))</f>
        <v/>
      </c>
      <c r="N970" s="6">
        <f>ROUND(Raw_Data!N970,2)</f>
        <v/>
      </c>
      <c r="O970" s="7">
        <f>IF(COUNTIF($A$2:$A$1201,A970)&gt;1,"DUPLICATE","Unique")</f>
        <v/>
      </c>
      <c r="P970" s="7">
        <f>IF(COUNTIF($J$2:$J$1201,J970)&gt;1,"DUPLICATE","Unique")</f>
        <v/>
      </c>
      <c r="Q970" s="4">
        <f>IF(TRIM(Raw_Data!L970)="","Yes","No")</f>
        <v/>
      </c>
      <c r="R970" s="4">
        <f>IF(ISNUMBER(B970),"Valid","INVALID")</f>
        <v/>
      </c>
    </row>
    <row r="971">
      <c r="A971" s="4">
        <f>TRIM(Raw_Data!A971)</f>
        <v/>
      </c>
      <c r="B971" s="5">
        <f>Raw_Data!B971</f>
        <v/>
      </c>
      <c r="C971" s="4">
        <f>TRIM(Raw_Data!C971)</f>
        <v/>
      </c>
      <c r="D971" s="4">
        <f>PROPER(TRIM(Raw_Data!D971))</f>
        <v/>
      </c>
      <c r="E971" s="4">
        <f>Raw_Data!E971</f>
        <v/>
      </c>
      <c r="F971" s="6">
        <f>ROUND(Raw_Data!F971,2)</f>
        <v/>
      </c>
      <c r="G971" s="4">
        <f>PROPER(TRIM(Raw_Data!G971))</f>
        <v/>
      </c>
      <c r="H971" s="4">
        <f>PROPER(TRIM(Raw_Data!H971))</f>
        <v/>
      </c>
      <c r="I971" s="4">
        <f>PROPER(TRIM(Raw_Data!I971))</f>
        <v/>
      </c>
      <c r="J971" s="4">
        <f>TRIM(Raw_Data!J971)</f>
        <v/>
      </c>
      <c r="K971" s="4">
        <f>Raw_Data!K971</f>
        <v/>
      </c>
      <c r="L971" s="4">
        <f>IF(TRIM(Raw_Data!L971)="","No Coupon",TRIM(Raw_Data!L971))</f>
        <v/>
      </c>
      <c r="M971" s="4">
        <f>PROPER(TRIM(Raw_Data!M971))</f>
        <v/>
      </c>
      <c r="N971" s="6">
        <f>ROUND(Raw_Data!N971,2)</f>
        <v/>
      </c>
      <c r="O971" s="7">
        <f>IF(COUNTIF($A$2:$A$1201,A971)&gt;1,"DUPLICATE","Unique")</f>
        <v/>
      </c>
      <c r="P971" s="7">
        <f>IF(COUNTIF($J$2:$J$1201,J971)&gt;1,"DUPLICATE","Unique")</f>
        <v/>
      </c>
      <c r="Q971" s="4">
        <f>IF(TRIM(Raw_Data!L971)="","Yes","No")</f>
        <v/>
      </c>
      <c r="R971" s="4">
        <f>IF(ISNUMBER(B971),"Valid","INVALID")</f>
        <v/>
      </c>
    </row>
    <row r="972">
      <c r="A972" s="4">
        <f>TRIM(Raw_Data!A972)</f>
        <v/>
      </c>
      <c r="B972" s="5">
        <f>Raw_Data!B972</f>
        <v/>
      </c>
      <c r="C972" s="4">
        <f>TRIM(Raw_Data!C972)</f>
        <v/>
      </c>
      <c r="D972" s="4">
        <f>PROPER(TRIM(Raw_Data!D972))</f>
        <v/>
      </c>
      <c r="E972" s="4">
        <f>Raw_Data!E972</f>
        <v/>
      </c>
      <c r="F972" s="6">
        <f>ROUND(Raw_Data!F972,2)</f>
        <v/>
      </c>
      <c r="G972" s="4">
        <f>PROPER(TRIM(Raw_Data!G972))</f>
        <v/>
      </c>
      <c r="H972" s="4">
        <f>PROPER(TRIM(Raw_Data!H972))</f>
        <v/>
      </c>
      <c r="I972" s="4">
        <f>PROPER(TRIM(Raw_Data!I972))</f>
        <v/>
      </c>
      <c r="J972" s="4">
        <f>TRIM(Raw_Data!J972)</f>
        <v/>
      </c>
      <c r="K972" s="4">
        <f>Raw_Data!K972</f>
        <v/>
      </c>
      <c r="L972" s="4">
        <f>IF(TRIM(Raw_Data!L972)="","No Coupon",TRIM(Raw_Data!L972))</f>
        <v/>
      </c>
      <c r="M972" s="4">
        <f>PROPER(TRIM(Raw_Data!M972))</f>
        <v/>
      </c>
      <c r="N972" s="6">
        <f>ROUND(Raw_Data!N972,2)</f>
        <v/>
      </c>
      <c r="O972" s="7">
        <f>IF(COUNTIF($A$2:$A$1201,A972)&gt;1,"DUPLICATE","Unique")</f>
        <v/>
      </c>
      <c r="P972" s="7">
        <f>IF(COUNTIF($J$2:$J$1201,J972)&gt;1,"DUPLICATE","Unique")</f>
        <v/>
      </c>
      <c r="Q972" s="4">
        <f>IF(TRIM(Raw_Data!L972)="","Yes","No")</f>
        <v/>
      </c>
      <c r="R972" s="4">
        <f>IF(ISNUMBER(B972),"Valid","INVALID")</f>
        <v/>
      </c>
    </row>
    <row r="973">
      <c r="A973" s="4">
        <f>TRIM(Raw_Data!A973)</f>
        <v/>
      </c>
      <c r="B973" s="5">
        <f>Raw_Data!B973</f>
        <v/>
      </c>
      <c r="C973" s="4">
        <f>TRIM(Raw_Data!C973)</f>
        <v/>
      </c>
      <c r="D973" s="4">
        <f>PROPER(TRIM(Raw_Data!D973))</f>
        <v/>
      </c>
      <c r="E973" s="4">
        <f>Raw_Data!E973</f>
        <v/>
      </c>
      <c r="F973" s="6">
        <f>ROUND(Raw_Data!F973,2)</f>
        <v/>
      </c>
      <c r="G973" s="4">
        <f>PROPER(TRIM(Raw_Data!G973))</f>
        <v/>
      </c>
      <c r="H973" s="4">
        <f>PROPER(TRIM(Raw_Data!H973))</f>
        <v/>
      </c>
      <c r="I973" s="4">
        <f>PROPER(TRIM(Raw_Data!I973))</f>
        <v/>
      </c>
      <c r="J973" s="4">
        <f>TRIM(Raw_Data!J973)</f>
        <v/>
      </c>
      <c r="K973" s="4">
        <f>Raw_Data!K973</f>
        <v/>
      </c>
      <c r="L973" s="4">
        <f>IF(TRIM(Raw_Data!L973)="","No Coupon",TRIM(Raw_Data!L973))</f>
        <v/>
      </c>
      <c r="M973" s="4">
        <f>PROPER(TRIM(Raw_Data!M973))</f>
        <v/>
      </c>
      <c r="N973" s="6">
        <f>ROUND(Raw_Data!N973,2)</f>
        <v/>
      </c>
      <c r="O973" s="7">
        <f>IF(COUNTIF($A$2:$A$1201,A973)&gt;1,"DUPLICATE","Unique")</f>
        <v/>
      </c>
      <c r="P973" s="7">
        <f>IF(COUNTIF($J$2:$J$1201,J973)&gt;1,"DUPLICATE","Unique")</f>
        <v/>
      </c>
      <c r="Q973" s="4">
        <f>IF(TRIM(Raw_Data!L973)="","Yes","No")</f>
        <v/>
      </c>
      <c r="R973" s="4">
        <f>IF(ISNUMBER(B973),"Valid","INVALID")</f>
        <v/>
      </c>
    </row>
    <row r="974">
      <c r="A974" s="4">
        <f>TRIM(Raw_Data!A974)</f>
        <v/>
      </c>
      <c r="B974" s="5">
        <f>Raw_Data!B974</f>
        <v/>
      </c>
      <c r="C974" s="4">
        <f>TRIM(Raw_Data!C974)</f>
        <v/>
      </c>
      <c r="D974" s="4">
        <f>PROPER(TRIM(Raw_Data!D974))</f>
        <v/>
      </c>
      <c r="E974" s="4">
        <f>Raw_Data!E974</f>
        <v/>
      </c>
      <c r="F974" s="6">
        <f>ROUND(Raw_Data!F974,2)</f>
        <v/>
      </c>
      <c r="G974" s="4">
        <f>PROPER(TRIM(Raw_Data!G974))</f>
        <v/>
      </c>
      <c r="H974" s="4">
        <f>PROPER(TRIM(Raw_Data!H974))</f>
        <v/>
      </c>
      <c r="I974" s="4">
        <f>PROPER(TRIM(Raw_Data!I974))</f>
        <v/>
      </c>
      <c r="J974" s="4">
        <f>TRIM(Raw_Data!J974)</f>
        <v/>
      </c>
      <c r="K974" s="4">
        <f>Raw_Data!K974</f>
        <v/>
      </c>
      <c r="L974" s="4">
        <f>IF(TRIM(Raw_Data!L974)="","No Coupon",TRIM(Raw_Data!L974))</f>
        <v/>
      </c>
      <c r="M974" s="4">
        <f>PROPER(TRIM(Raw_Data!M974))</f>
        <v/>
      </c>
      <c r="N974" s="6">
        <f>ROUND(Raw_Data!N974,2)</f>
        <v/>
      </c>
      <c r="O974" s="7">
        <f>IF(COUNTIF($A$2:$A$1201,A974)&gt;1,"DUPLICATE","Unique")</f>
        <v/>
      </c>
      <c r="P974" s="7">
        <f>IF(COUNTIF($J$2:$J$1201,J974)&gt;1,"DUPLICATE","Unique")</f>
        <v/>
      </c>
      <c r="Q974" s="4">
        <f>IF(TRIM(Raw_Data!L974)="","Yes","No")</f>
        <v/>
      </c>
      <c r="R974" s="4">
        <f>IF(ISNUMBER(B974),"Valid","INVALID")</f>
        <v/>
      </c>
    </row>
    <row r="975">
      <c r="A975" s="4">
        <f>TRIM(Raw_Data!A975)</f>
        <v/>
      </c>
      <c r="B975" s="5">
        <f>Raw_Data!B975</f>
        <v/>
      </c>
      <c r="C975" s="4">
        <f>TRIM(Raw_Data!C975)</f>
        <v/>
      </c>
      <c r="D975" s="4">
        <f>PROPER(TRIM(Raw_Data!D975))</f>
        <v/>
      </c>
      <c r="E975" s="4">
        <f>Raw_Data!E975</f>
        <v/>
      </c>
      <c r="F975" s="6">
        <f>ROUND(Raw_Data!F975,2)</f>
        <v/>
      </c>
      <c r="G975" s="4">
        <f>PROPER(TRIM(Raw_Data!G975))</f>
        <v/>
      </c>
      <c r="H975" s="4">
        <f>PROPER(TRIM(Raw_Data!H975))</f>
        <v/>
      </c>
      <c r="I975" s="4">
        <f>PROPER(TRIM(Raw_Data!I975))</f>
        <v/>
      </c>
      <c r="J975" s="4">
        <f>TRIM(Raw_Data!J975)</f>
        <v/>
      </c>
      <c r="K975" s="4">
        <f>Raw_Data!K975</f>
        <v/>
      </c>
      <c r="L975" s="4">
        <f>IF(TRIM(Raw_Data!L975)="","No Coupon",TRIM(Raw_Data!L975))</f>
        <v/>
      </c>
      <c r="M975" s="4">
        <f>PROPER(TRIM(Raw_Data!M975))</f>
        <v/>
      </c>
      <c r="N975" s="6">
        <f>ROUND(Raw_Data!N975,2)</f>
        <v/>
      </c>
      <c r="O975" s="7">
        <f>IF(COUNTIF($A$2:$A$1201,A975)&gt;1,"DUPLICATE","Unique")</f>
        <v/>
      </c>
      <c r="P975" s="7">
        <f>IF(COUNTIF($J$2:$J$1201,J975)&gt;1,"DUPLICATE","Unique")</f>
        <v/>
      </c>
      <c r="Q975" s="4">
        <f>IF(TRIM(Raw_Data!L975)="","Yes","No")</f>
        <v/>
      </c>
      <c r="R975" s="4">
        <f>IF(ISNUMBER(B975),"Valid","INVALID")</f>
        <v/>
      </c>
    </row>
    <row r="976">
      <c r="A976" s="4">
        <f>TRIM(Raw_Data!A976)</f>
        <v/>
      </c>
      <c r="B976" s="5">
        <f>Raw_Data!B976</f>
        <v/>
      </c>
      <c r="C976" s="4">
        <f>TRIM(Raw_Data!C976)</f>
        <v/>
      </c>
      <c r="D976" s="4">
        <f>PROPER(TRIM(Raw_Data!D976))</f>
        <v/>
      </c>
      <c r="E976" s="4">
        <f>Raw_Data!E976</f>
        <v/>
      </c>
      <c r="F976" s="6">
        <f>ROUND(Raw_Data!F976,2)</f>
        <v/>
      </c>
      <c r="G976" s="4">
        <f>PROPER(TRIM(Raw_Data!G976))</f>
        <v/>
      </c>
      <c r="H976" s="4">
        <f>PROPER(TRIM(Raw_Data!H976))</f>
        <v/>
      </c>
      <c r="I976" s="4">
        <f>PROPER(TRIM(Raw_Data!I976))</f>
        <v/>
      </c>
      <c r="J976" s="4">
        <f>TRIM(Raw_Data!J976)</f>
        <v/>
      </c>
      <c r="K976" s="4">
        <f>Raw_Data!K976</f>
        <v/>
      </c>
      <c r="L976" s="4">
        <f>IF(TRIM(Raw_Data!L976)="","No Coupon",TRIM(Raw_Data!L976))</f>
        <v/>
      </c>
      <c r="M976" s="4">
        <f>PROPER(TRIM(Raw_Data!M976))</f>
        <v/>
      </c>
      <c r="N976" s="6">
        <f>ROUND(Raw_Data!N976,2)</f>
        <v/>
      </c>
      <c r="O976" s="7">
        <f>IF(COUNTIF($A$2:$A$1201,A976)&gt;1,"DUPLICATE","Unique")</f>
        <v/>
      </c>
      <c r="P976" s="7">
        <f>IF(COUNTIF($J$2:$J$1201,J976)&gt;1,"DUPLICATE","Unique")</f>
        <v/>
      </c>
      <c r="Q976" s="4">
        <f>IF(TRIM(Raw_Data!L976)="","Yes","No")</f>
        <v/>
      </c>
      <c r="R976" s="4">
        <f>IF(ISNUMBER(B976),"Valid","INVALID")</f>
        <v/>
      </c>
    </row>
    <row r="977">
      <c r="A977" s="4">
        <f>TRIM(Raw_Data!A977)</f>
        <v/>
      </c>
      <c r="B977" s="5">
        <f>Raw_Data!B977</f>
        <v/>
      </c>
      <c r="C977" s="4">
        <f>TRIM(Raw_Data!C977)</f>
        <v/>
      </c>
      <c r="D977" s="4">
        <f>PROPER(TRIM(Raw_Data!D977))</f>
        <v/>
      </c>
      <c r="E977" s="4">
        <f>Raw_Data!E977</f>
        <v/>
      </c>
      <c r="F977" s="6">
        <f>ROUND(Raw_Data!F977,2)</f>
        <v/>
      </c>
      <c r="G977" s="4">
        <f>PROPER(TRIM(Raw_Data!G977))</f>
        <v/>
      </c>
      <c r="H977" s="4">
        <f>PROPER(TRIM(Raw_Data!H977))</f>
        <v/>
      </c>
      <c r="I977" s="4">
        <f>PROPER(TRIM(Raw_Data!I977))</f>
        <v/>
      </c>
      <c r="J977" s="4">
        <f>TRIM(Raw_Data!J977)</f>
        <v/>
      </c>
      <c r="K977" s="4">
        <f>Raw_Data!K977</f>
        <v/>
      </c>
      <c r="L977" s="4">
        <f>IF(TRIM(Raw_Data!L977)="","No Coupon",TRIM(Raw_Data!L977))</f>
        <v/>
      </c>
      <c r="M977" s="4">
        <f>PROPER(TRIM(Raw_Data!M977))</f>
        <v/>
      </c>
      <c r="N977" s="6">
        <f>ROUND(Raw_Data!N977,2)</f>
        <v/>
      </c>
      <c r="O977" s="7">
        <f>IF(COUNTIF($A$2:$A$1201,A977)&gt;1,"DUPLICATE","Unique")</f>
        <v/>
      </c>
      <c r="P977" s="7">
        <f>IF(COUNTIF($J$2:$J$1201,J977)&gt;1,"DUPLICATE","Unique")</f>
        <v/>
      </c>
      <c r="Q977" s="4">
        <f>IF(TRIM(Raw_Data!L977)="","Yes","No")</f>
        <v/>
      </c>
      <c r="R977" s="4">
        <f>IF(ISNUMBER(B977),"Valid","INVALID")</f>
        <v/>
      </c>
    </row>
    <row r="978">
      <c r="A978" s="4">
        <f>TRIM(Raw_Data!A978)</f>
        <v/>
      </c>
      <c r="B978" s="5">
        <f>Raw_Data!B978</f>
        <v/>
      </c>
      <c r="C978" s="4">
        <f>TRIM(Raw_Data!C978)</f>
        <v/>
      </c>
      <c r="D978" s="4">
        <f>PROPER(TRIM(Raw_Data!D978))</f>
        <v/>
      </c>
      <c r="E978" s="4">
        <f>Raw_Data!E978</f>
        <v/>
      </c>
      <c r="F978" s="6">
        <f>ROUND(Raw_Data!F978,2)</f>
        <v/>
      </c>
      <c r="G978" s="4">
        <f>PROPER(TRIM(Raw_Data!G978))</f>
        <v/>
      </c>
      <c r="H978" s="4">
        <f>PROPER(TRIM(Raw_Data!H978))</f>
        <v/>
      </c>
      <c r="I978" s="4">
        <f>PROPER(TRIM(Raw_Data!I978))</f>
        <v/>
      </c>
      <c r="J978" s="4">
        <f>TRIM(Raw_Data!J978)</f>
        <v/>
      </c>
      <c r="K978" s="4">
        <f>Raw_Data!K978</f>
        <v/>
      </c>
      <c r="L978" s="4">
        <f>IF(TRIM(Raw_Data!L978)="","No Coupon",TRIM(Raw_Data!L978))</f>
        <v/>
      </c>
      <c r="M978" s="4">
        <f>PROPER(TRIM(Raw_Data!M978))</f>
        <v/>
      </c>
      <c r="N978" s="6">
        <f>ROUND(Raw_Data!N978,2)</f>
        <v/>
      </c>
      <c r="O978" s="7">
        <f>IF(COUNTIF($A$2:$A$1201,A978)&gt;1,"DUPLICATE","Unique")</f>
        <v/>
      </c>
      <c r="P978" s="7">
        <f>IF(COUNTIF($J$2:$J$1201,J978)&gt;1,"DUPLICATE","Unique")</f>
        <v/>
      </c>
      <c r="Q978" s="4">
        <f>IF(TRIM(Raw_Data!L978)="","Yes","No")</f>
        <v/>
      </c>
      <c r="R978" s="4">
        <f>IF(ISNUMBER(B978),"Valid","INVALID")</f>
        <v/>
      </c>
    </row>
    <row r="979">
      <c r="A979" s="4">
        <f>TRIM(Raw_Data!A979)</f>
        <v/>
      </c>
      <c r="B979" s="5">
        <f>Raw_Data!B979</f>
        <v/>
      </c>
      <c r="C979" s="4">
        <f>TRIM(Raw_Data!C979)</f>
        <v/>
      </c>
      <c r="D979" s="4">
        <f>PROPER(TRIM(Raw_Data!D979))</f>
        <v/>
      </c>
      <c r="E979" s="4">
        <f>Raw_Data!E979</f>
        <v/>
      </c>
      <c r="F979" s="6">
        <f>ROUND(Raw_Data!F979,2)</f>
        <v/>
      </c>
      <c r="G979" s="4">
        <f>PROPER(TRIM(Raw_Data!G979))</f>
        <v/>
      </c>
      <c r="H979" s="4">
        <f>PROPER(TRIM(Raw_Data!H979))</f>
        <v/>
      </c>
      <c r="I979" s="4">
        <f>PROPER(TRIM(Raw_Data!I979))</f>
        <v/>
      </c>
      <c r="J979" s="4">
        <f>TRIM(Raw_Data!J979)</f>
        <v/>
      </c>
      <c r="K979" s="4">
        <f>Raw_Data!K979</f>
        <v/>
      </c>
      <c r="L979" s="4">
        <f>IF(TRIM(Raw_Data!L979)="","No Coupon",TRIM(Raw_Data!L979))</f>
        <v/>
      </c>
      <c r="M979" s="4">
        <f>PROPER(TRIM(Raw_Data!M979))</f>
        <v/>
      </c>
      <c r="N979" s="6">
        <f>ROUND(Raw_Data!N979,2)</f>
        <v/>
      </c>
      <c r="O979" s="7">
        <f>IF(COUNTIF($A$2:$A$1201,A979)&gt;1,"DUPLICATE","Unique")</f>
        <v/>
      </c>
      <c r="P979" s="7">
        <f>IF(COUNTIF($J$2:$J$1201,J979)&gt;1,"DUPLICATE","Unique")</f>
        <v/>
      </c>
      <c r="Q979" s="4">
        <f>IF(TRIM(Raw_Data!L979)="","Yes","No")</f>
        <v/>
      </c>
      <c r="R979" s="4">
        <f>IF(ISNUMBER(B979),"Valid","INVALID")</f>
        <v/>
      </c>
    </row>
    <row r="980">
      <c r="A980" s="4">
        <f>TRIM(Raw_Data!A980)</f>
        <v/>
      </c>
      <c r="B980" s="5">
        <f>Raw_Data!B980</f>
        <v/>
      </c>
      <c r="C980" s="4">
        <f>TRIM(Raw_Data!C980)</f>
        <v/>
      </c>
      <c r="D980" s="4">
        <f>PROPER(TRIM(Raw_Data!D980))</f>
        <v/>
      </c>
      <c r="E980" s="4">
        <f>Raw_Data!E980</f>
        <v/>
      </c>
      <c r="F980" s="6">
        <f>ROUND(Raw_Data!F980,2)</f>
        <v/>
      </c>
      <c r="G980" s="4">
        <f>PROPER(TRIM(Raw_Data!G980))</f>
        <v/>
      </c>
      <c r="H980" s="4">
        <f>PROPER(TRIM(Raw_Data!H980))</f>
        <v/>
      </c>
      <c r="I980" s="4">
        <f>PROPER(TRIM(Raw_Data!I980))</f>
        <v/>
      </c>
      <c r="J980" s="4">
        <f>TRIM(Raw_Data!J980)</f>
        <v/>
      </c>
      <c r="K980" s="4">
        <f>Raw_Data!K980</f>
        <v/>
      </c>
      <c r="L980" s="4">
        <f>IF(TRIM(Raw_Data!L980)="","No Coupon",TRIM(Raw_Data!L980))</f>
        <v/>
      </c>
      <c r="M980" s="4">
        <f>PROPER(TRIM(Raw_Data!M980))</f>
        <v/>
      </c>
      <c r="N980" s="6">
        <f>ROUND(Raw_Data!N980,2)</f>
        <v/>
      </c>
      <c r="O980" s="7">
        <f>IF(COUNTIF($A$2:$A$1201,A980)&gt;1,"DUPLICATE","Unique")</f>
        <v/>
      </c>
      <c r="P980" s="7">
        <f>IF(COUNTIF($J$2:$J$1201,J980)&gt;1,"DUPLICATE","Unique")</f>
        <v/>
      </c>
      <c r="Q980" s="4">
        <f>IF(TRIM(Raw_Data!L980)="","Yes","No")</f>
        <v/>
      </c>
      <c r="R980" s="4">
        <f>IF(ISNUMBER(B980),"Valid","INVALID")</f>
        <v/>
      </c>
    </row>
    <row r="981">
      <c r="A981" s="4">
        <f>TRIM(Raw_Data!A981)</f>
        <v/>
      </c>
      <c r="B981" s="5">
        <f>Raw_Data!B981</f>
        <v/>
      </c>
      <c r="C981" s="4">
        <f>TRIM(Raw_Data!C981)</f>
        <v/>
      </c>
      <c r="D981" s="4">
        <f>PROPER(TRIM(Raw_Data!D981))</f>
        <v/>
      </c>
      <c r="E981" s="4">
        <f>Raw_Data!E981</f>
        <v/>
      </c>
      <c r="F981" s="6">
        <f>ROUND(Raw_Data!F981,2)</f>
        <v/>
      </c>
      <c r="G981" s="4">
        <f>PROPER(TRIM(Raw_Data!G981))</f>
        <v/>
      </c>
      <c r="H981" s="4">
        <f>PROPER(TRIM(Raw_Data!H981))</f>
        <v/>
      </c>
      <c r="I981" s="4">
        <f>PROPER(TRIM(Raw_Data!I981))</f>
        <v/>
      </c>
      <c r="J981" s="4">
        <f>TRIM(Raw_Data!J981)</f>
        <v/>
      </c>
      <c r="K981" s="4">
        <f>Raw_Data!K981</f>
        <v/>
      </c>
      <c r="L981" s="4">
        <f>IF(TRIM(Raw_Data!L981)="","No Coupon",TRIM(Raw_Data!L981))</f>
        <v/>
      </c>
      <c r="M981" s="4">
        <f>PROPER(TRIM(Raw_Data!M981))</f>
        <v/>
      </c>
      <c r="N981" s="6">
        <f>ROUND(Raw_Data!N981,2)</f>
        <v/>
      </c>
      <c r="O981" s="7">
        <f>IF(COUNTIF($A$2:$A$1201,A981)&gt;1,"DUPLICATE","Unique")</f>
        <v/>
      </c>
      <c r="P981" s="7">
        <f>IF(COUNTIF($J$2:$J$1201,J981)&gt;1,"DUPLICATE","Unique")</f>
        <v/>
      </c>
      <c r="Q981" s="4">
        <f>IF(TRIM(Raw_Data!L981)="","Yes","No")</f>
        <v/>
      </c>
      <c r="R981" s="4">
        <f>IF(ISNUMBER(B981),"Valid","INVALID")</f>
        <v/>
      </c>
    </row>
    <row r="982">
      <c r="A982" s="4">
        <f>TRIM(Raw_Data!A982)</f>
        <v/>
      </c>
      <c r="B982" s="5">
        <f>Raw_Data!B982</f>
        <v/>
      </c>
      <c r="C982" s="4">
        <f>TRIM(Raw_Data!C982)</f>
        <v/>
      </c>
      <c r="D982" s="4">
        <f>PROPER(TRIM(Raw_Data!D982))</f>
        <v/>
      </c>
      <c r="E982" s="4">
        <f>Raw_Data!E982</f>
        <v/>
      </c>
      <c r="F982" s="6">
        <f>ROUND(Raw_Data!F982,2)</f>
        <v/>
      </c>
      <c r="G982" s="4">
        <f>PROPER(TRIM(Raw_Data!G982))</f>
        <v/>
      </c>
      <c r="H982" s="4">
        <f>PROPER(TRIM(Raw_Data!H982))</f>
        <v/>
      </c>
      <c r="I982" s="4">
        <f>PROPER(TRIM(Raw_Data!I982))</f>
        <v/>
      </c>
      <c r="J982" s="4">
        <f>TRIM(Raw_Data!J982)</f>
        <v/>
      </c>
      <c r="K982" s="4">
        <f>Raw_Data!K982</f>
        <v/>
      </c>
      <c r="L982" s="4">
        <f>IF(TRIM(Raw_Data!L982)="","No Coupon",TRIM(Raw_Data!L982))</f>
        <v/>
      </c>
      <c r="M982" s="4">
        <f>PROPER(TRIM(Raw_Data!M982))</f>
        <v/>
      </c>
      <c r="N982" s="6">
        <f>ROUND(Raw_Data!N982,2)</f>
        <v/>
      </c>
      <c r="O982" s="7">
        <f>IF(COUNTIF($A$2:$A$1201,A982)&gt;1,"DUPLICATE","Unique")</f>
        <v/>
      </c>
      <c r="P982" s="7">
        <f>IF(COUNTIF($J$2:$J$1201,J982)&gt;1,"DUPLICATE","Unique")</f>
        <v/>
      </c>
      <c r="Q982" s="4">
        <f>IF(TRIM(Raw_Data!L982)="","Yes","No")</f>
        <v/>
      </c>
      <c r="R982" s="4">
        <f>IF(ISNUMBER(B982),"Valid","INVALID")</f>
        <v/>
      </c>
    </row>
    <row r="983">
      <c r="A983" s="4">
        <f>TRIM(Raw_Data!A983)</f>
        <v/>
      </c>
      <c r="B983" s="5">
        <f>Raw_Data!B983</f>
        <v/>
      </c>
      <c r="C983" s="4">
        <f>TRIM(Raw_Data!C983)</f>
        <v/>
      </c>
      <c r="D983" s="4">
        <f>PROPER(TRIM(Raw_Data!D983))</f>
        <v/>
      </c>
      <c r="E983" s="4">
        <f>Raw_Data!E983</f>
        <v/>
      </c>
      <c r="F983" s="6">
        <f>ROUND(Raw_Data!F983,2)</f>
        <v/>
      </c>
      <c r="G983" s="4">
        <f>PROPER(TRIM(Raw_Data!G983))</f>
        <v/>
      </c>
      <c r="H983" s="4">
        <f>PROPER(TRIM(Raw_Data!H983))</f>
        <v/>
      </c>
      <c r="I983" s="4">
        <f>PROPER(TRIM(Raw_Data!I983))</f>
        <v/>
      </c>
      <c r="J983" s="4">
        <f>TRIM(Raw_Data!J983)</f>
        <v/>
      </c>
      <c r="K983" s="4">
        <f>Raw_Data!K983</f>
        <v/>
      </c>
      <c r="L983" s="4">
        <f>IF(TRIM(Raw_Data!L983)="","No Coupon",TRIM(Raw_Data!L983))</f>
        <v/>
      </c>
      <c r="M983" s="4">
        <f>PROPER(TRIM(Raw_Data!M983))</f>
        <v/>
      </c>
      <c r="N983" s="6">
        <f>ROUND(Raw_Data!N983,2)</f>
        <v/>
      </c>
      <c r="O983" s="7">
        <f>IF(COUNTIF($A$2:$A$1201,A983)&gt;1,"DUPLICATE","Unique")</f>
        <v/>
      </c>
      <c r="P983" s="7">
        <f>IF(COUNTIF($J$2:$J$1201,J983)&gt;1,"DUPLICATE","Unique")</f>
        <v/>
      </c>
      <c r="Q983" s="4">
        <f>IF(TRIM(Raw_Data!L983)="","Yes","No")</f>
        <v/>
      </c>
      <c r="R983" s="4">
        <f>IF(ISNUMBER(B983),"Valid","INVALID")</f>
        <v/>
      </c>
    </row>
    <row r="984">
      <c r="A984" s="4">
        <f>TRIM(Raw_Data!A984)</f>
        <v/>
      </c>
      <c r="B984" s="5">
        <f>Raw_Data!B984</f>
        <v/>
      </c>
      <c r="C984" s="4">
        <f>TRIM(Raw_Data!C984)</f>
        <v/>
      </c>
      <c r="D984" s="4">
        <f>PROPER(TRIM(Raw_Data!D984))</f>
        <v/>
      </c>
      <c r="E984" s="4">
        <f>Raw_Data!E984</f>
        <v/>
      </c>
      <c r="F984" s="6">
        <f>ROUND(Raw_Data!F984,2)</f>
        <v/>
      </c>
      <c r="G984" s="4">
        <f>PROPER(TRIM(Raw_Data!G984))</f>
        <v/>
      </c>
      <c r="H984" s="4">
        <f>PROPER(TRIM(Raw_Data!H984))</f>
        <v/>
      </c>
      <c r="I984" s="4">
        <f>PROPER(TRIM(Raw_Data!I984))</f>
        <v/>
      </c>
      <c r="J984" s="4">
        <f>TRIM(Raw_Data!J984)</f>
        <v/>
      </c>
      <c r="K984" s="4">
        <f>Raw_Data!K984</f>
        <v/>
      </c>
      <c r="L984" s="4">
        <f>IF(TRIM(Raw_Data!L984)="","No Coupon",TRIM(Raw_Data!L984))</f>
        <v/>
      </c>
      <c r="M984" s="4">
        <f>PROPER(TRIM(Raw_Data!M984))</f>
        <v/>
      </c>
      <c r="N984" s="6">
        <f>ROUND(Raw_Data!N984,2)</f>
        <v/>
      </c>
      <c r="O984" s="7">
        <f>IF(COUNTIF($A$2:$A$1201,A984)&gt;1,"DUPLICATE","Unique")</f>
        <v/>
      </c>
      <c r="P984" s="7">
        <f>IF(COUNTIF($J$2:$J$1201,J984)&gt;1,"DUPLICATE","Unique")</f>
        <v/>
      </c>
      <c r="Q984" s="4">
        <f>IF(TRIM(Raw_Data!L984)="","Yes","No")</f>
        <v/>
      </c>
      <c r="R984" s="4">
        <f>IF(ISNUMBER(B984),"Valid","INVALID")</f>
        <v/>
      </c>
    </row>
    <row r="985">
      <c r="A985" s="4">
        <f>TRIM(Raw_Data!A985)</f>
        <v/>
      </c>
      <c r="B985" s="5">
        <f>Raw_Data!B985</f>
        <v/>
      </c>
      <c r="C985" s="4">
        <f>TRIM(Raw_Data!C985)</f>
        <v/>
      </c>
      <c r="D985" s="4">
        <f>PROPER(TRIM(Raw_Data!D985))</f>
        <v/>
      </c>
      <c r="E985" s="4">
        <f>Raw_Data!E985</f>
        <v/>
      </c>
      <c r="F985" s="6">
        <f>ROUND(Raw_Data!F985,2)</f>
        <v/>
      </c>
      <c r="G985" s="4">
        <f>PROPER(TRIM(Raw_Data!G985))</f>
        <v/>
      </c>
      <c r="H985" s="4">
        <f>PROPER(TRIM(Raw_Data!H985))</f>
        <v/>
      </c>
      <c r="I985" s="4">
        <f>PROPER(TRIM(Raw_Data!I985))</f>
        <v/>
      </c>
      <c r="J985" s="4">
        <f>TRIM(Raw_Data!J985)</f>
        <v/>
      </c>
      <c r="K985" s="4">
        <f>Raw_Data!K985</f>
        <v/>
      </c>
      <c r="L985" s="4">
        <f>IF(TRIM(Raw_Data!L985)="","No Coupon",TRIM(Raw_Data!L985))</f>
        <v/>
      </c>
      <c r="M985" s="4">
        <f>PROPER(TRIM(Raw_Data!M985))</f>
        <v/>
      </c>
      <c r="N985" s="6">
        <f>ROUND(Raw_Data!N985,2)</f>
        <v/>
      </c>
      <c r="O985" s="7">
        <f>IF(COUNTIF($A$2:$A$1201,A985)&gt;1,"DUPLICATE","Unique")</f>
        <v/>
      </c>
      <c r="P985" s="7">
        <f>IF(COUNTIF($J$2:$J$1201,J985)&gt;1,"DUPLICATE","Unique")</f>
        <v/>
      </c>
      <c r="Q985" s="4">
        <f>IF(TRIM(Raw_Data!L985)="","Yes","No")</f>
        <v/>
      </c>
      <c r="R985" s="4">
        <f>IF(ISNUMBER(B985),"Valid","INVALID")</f>
        <v/>
      </c>
    </row>
    <row r="986">
      <c r="A986" s="4">
        <f>TRIM(Raw_Data!A986)</f>
        <v/>
      </c>
      <c r="B986" s="5">
        <f>Raw_Data!B986</f>
        <v/>
      </c>
      <c r="C986" s="4">
        <f>TRIM(Raw_Data!C986)</f>
        <v/>
      </c>
      <c r="D986" s="4">
        <f>PROPER(TRIM(Raw_Data!D986))</f>
        <v/>
      </c>
      <c r="E986" s="4">
        <f>Raw_Data!E986</f>
        <v/>
      </c>
      <c r="F986" s="6">
        <f>ROUND(Raw_Data!F986,2)</f>
        <v/>
      </c>
      <c r="G986" s="4">
        <f>PROPER(TRIM(Raw_Data!G986))</f>
        <v/>
      </c>
      <c r="H986" s="4">
        <f>PROPER(TRIM(Raw_Data!H986))</f>
        <v/>
      </c>
      <c r="I986" s="4">
        <f>PROPER(TRIM(Raw_Data!I986))</f>
        <v/>
      </c>
      <c r="J986" s="4">
        <f>TRIM(Raw_Data!J986)</f>
        <v/>
      </c>
      <c r="K986" s="4">
        <f>Raw_Data!K986</f>
        <v/>
      </c>
      <c r="L986" s="4">
        <f>IF(TRIM(Raw_Data!L986)="","No Coupon",TRIM(Raw_Data!L986))</f>
        <v/>
      </c>
      <c r="M986" s="4">
        <f>PROPER(TRIM(Raw_Data!M986))</f>
        <v/>
      </c>
      <c r="N986" s="6">
        <f>ROUND(Raw_Data!N986,2)</f>
        <v/>
      </c>
      <c r="O986" s="7">
        <f>IF(COUNTIF($A$2:$A$1201,A986)&gt;1,"DUPLICATE","Unique")</f>
        <v/>
      </c>
      <c r="P986" s="7">
        <f>IF(COUNTIF($J$2:$J$1201,J986)&gt;1,"DUPLICATE","Unique")</f>
        <v/>
      </c>
      <c r="Q986" s="4">
        <f>IF(TRIM(Raw_Data!L986)="","Yes","No")</f>
        <v/>
      </c>
      <c r="R986" s="4">
        <f>IF(ISNUMBER(B986),"Valid","INVALID")</f>
        <v/>
      </c>
    </row>
    <row r="987">
      <c r="A987" s="4">
        <f>TRIM(Raw_Data!A987)</f>
        <v/>
      </c>
      <c r="B987" s="5">
        <f>Raw_Data!B987</f>
        <v/>
      </c>
      <c r="C987" s="4">
        <f>TRIM(Raw_Data!C987)</f>
        <v/>
      </c>
      <c r="D987" s="4">
        <f>PROPER(TRIM(Raw_Data!D987))</f>
        <v/>
      </c>
      <c r="E987" s="4">
        <f>Raw_Data!E987</f>
        <v/>
      </c>
      <c r="F987" s="6">
        <f>ROUND(Raw_Data!F987,2)</f>
        <v/>
      </c>
      <c r="G987" s="4">
        <f>PROPER(TRIM(Raw_Data!G987))</f>
        <v/>
      </c>
      <c r="H987" s="4">
        <f>PROPER(TRIM(Raw_Data!H987))</f>
        <v/>
      </c>
      <c r="I987" s="4">
        <f>PROPER(TRIM(Raw_Data!I987))</f>
        <v/>
      </c>
      <c r="J987" s="4">
        <f>TRIM(Raw_Data!J987)</f>
        <v/>
      </c>
      <c r="K987" s="4">
        <f>Raw_Data!K987</f>
        <v/>
      </c>
      <c r="L987" s="4">
        <f>IF(TRIM(Raw_Data!L987)="","No Coupon",TRIM(Raw_Data!L987))</f>
        <v/>
      </c>
      <c r="M987" s="4">
        <f>PROPER(TRIM(Raw_Data!M987))</f>
        <v/>
      </c>
      <c r="N987" s="6">
        <f>ROUND(Raw_Data!N987,2)</f>
        <v/>
      </c>
      <c r="O987" s="7">
        <f>IF(COUNTIF($A$2:$A$1201,A987)&gt;1,"DUPLICATE","Unique")</f>
        <v/>
      </c>
      <c r="P987" s="7">
        <f>IF(COUNTIF($J$2:$J$1201,J987)&gt;1,"DUPLICATE","Unique")</f>
        <v/>
      </c>
      <c r="Q987" s="4">
        <f>IF(TRIM(Raw_Data!L987)="","Yes","No")</f>
        <v/>
      </c>
      <c r="R987" s="4">
        <f>IF(ISNUMBER(B987),"Valid","INVALID")</f>
        <v/>
      </c>
    </row>
    <row r="988">
      <c r="A988" s="4">
        <f>TRIM(Raw_Data!A988)</f>
        <v/>
      </c>
      <c r="B988" s="5">
        <f>Raw_Data!B988</f>
        <v/>
      </c>
      <c r="C988" s="4">
        <f>TRIM(Raw_Data!C988)</f>
        <v/>
      </c>
      <c r="D988" s="4">
        <f>PROPER(TRIM(Raw_Data!D988))</f>
        <v/>
      </c>
      <c r="E988" s="4">
        <f>Raw_Data!E988</f>
        <v/>
      </c>
      <c r="F988" s="6">
        <f>ROUND(Raw_Data!F988,2)</f>
        <v/>
      </c>
      <c r="G988" s="4">
        <f>PROPER(TRIM(Raw_Data!G988))</f>
        <v/>
      </c>
      <c r="H988" s="4">
        <f>PROPER(TRIM(Raw_Data!H988))</f>
        <v/>
      </c>
      <c r="I988" s="4">
        <f>PROPER(TRIM(Raw_Data!I988))</f>
        <v/>
      </c>
      <c r="J988" s="4">
        <f>TRIM(Raw_Data!J988)</f>
        <v/>
      </c>
      <c r="K988" s="4">
        <f>Raw_Data!K988</f>
        <v/>
      </c>
      <c r="L988" s="4">
        <f>IF(TRIM(Raw_Data!L988)="","No Coupon",TRIM(Raw_Data!L988))</f>
        <v/>
      </c>
      <c r="M988" s="4">
        <f>PROPER(TRIM(Raw_Data!M988))</f>
        <v/>
      </c>
      <c r="N988" s="6">
        <f>ROUND(Raw_Data!N988,2)</f>
        <v/>
      </c>
      <c r="O988" s="7">
        <f>IF(COUNTIF($A$2:$A$1201,A988)&gt;1,"DUPLICATE","Unique")</f>
        <v/>
      </c>
      <c r="P988" s="7">
        <f>IF(COUNTIF($J$2:$J$1201,J988)&gt;1,"DUPLICATE","Unique")</f>
        <v/>
      </c>
      <c r="Q988" s="4">
        <f>IF(TRIM(Raw_Data!L988)="","Yes","No")</f>
        <v/>
      </c>
      <c r="R988" s="4">
        <f>IF(ISNUMBER(B988),"Valid","INVALID")</f>
        <v/>
      </c>
    </row>
    <row r="989">
      <c r="A989" s="4">
        <f>TRIM(Raw_Data!A989)</f>
        <v/>
      </c>
      <c r="B989" s="5">
        <f>Raw_Data!B989</f>
        <v/>
      </c>
      <c r="C989" s="4">
        <f>TRIM(Raw_Data!C989)</f>
        <v/>
      </c>
      <c r="D989" s="4">
        <f>PROPER(TRIM(Raw_Data!D989))</f>
        <v/>
      </c>
      <c r="E989" s="4">
        <f>Raw_Data!E989</f>
        <v/>
      </c>
      <c r="F989" s="6">
        <f>ROUND(Raw_Data!F989,2)</f>
        <v/>
      </c>
      <c r="G989" s="4">
        <f>PROPER(TRIM(Raw_Data!G989))</f>
        <v/>
      </c>
      <c r="H989" s="4">
        <f>PROPER(TRIM(Raw_Data!H989))</f>
        <v/>
      </c>
      <c r="I989" s="4">
        <f>PROPER(TRIM(Raw_Data!I989))</f>
        <v/>
      </c>
      <c r="J989" s="4">
        <f>TRIM(Raw_Data!J989)</f>
        <v/>
      </c>
      <c r="K989" s="4">
        <f>Raw_Data!K989</f>
        <v/>
      </c>
      <c r="L989" s="4">
        <f>IF(TRIM(Raw_Data!L989)="","No Coupon",TRIM(Raw_Data!L989))</f>
        <v/>
      </c>
      <c r="M989" s="4">
        <f>PROPER(TRIM(Raw_Data!M989))</f>
        <v/>
      </c>
      <c r="N989" s="6">
        <f>ROUND(Raw_Data!N989,2)</f>
        <v/>
      </c>
      <c r="O989" s="7">
        <f>IF(COUNTIF($A$2:$A$1201,A989)&gt;1,"DUPLICATE","Unique")</f>
        <v/>
      </c>
      <c r="P989" s="7">
        <f>IF(COUNTIF($J$2:$J$1201,J989)&gt;1,"DUPLICATE","Unique")</f>
        <v/>
      </c>
      <c r="Q989" s="4">
        <f>IF(TRIM(Raw_Data!L989)="","Yes","No")</f>
        <v/>
      </c>
      <c r="R989" s="4">
        <f>IF(ISNUMBER(B989),"Valid","INVALID")</f>
        <v/>
      </c>
    </row>
    <row r="990">
      <c r="A990" s="4">
        <f>TRIM(Raw_Data!A990)</f>
        <v/>
      </c>
      <c r="B990" s="5">
        <f>Raw_Data!B990</f>
        <v/>
      </c>
      <c r="C990" s="4">
        <f>TRIM(Raw_Data!C990)</f>
        <v/>
      </c>
      <c r="D990" s="4">
        <f>PROPER(TRIM(Raw_Data!D990))</f>
        <v/>
      </c>
      <c r="E990" s="4">
        <f>Raw_Data!E990</f>
        <v/>
      </c>
      <c r="F990" s="6">
        <f>ROUND(Raw_Data!F990,2)</f>
        <v/>
      </c>
      <c r="G990" s="4">
        <f>PROPER(TRIM(Raw_Data!G990))</f>
        <v/>
      </c>
      <c r="H990" s="4">
        <f>PROPER(TRIM(Raw_Data!H990))</f>
        <v/>
      </c>
      <c r="I990" s="4">
        <f>PROPER(TRIM(Raw_Data!I990))</f>
        <v/>
      </c>
      <c r="J990" s="4">
        <f>TRIM(Raw_Data!J990)</f>
        <v/>
      </c>
      <c r="K990" s="4">
        <f>Raw_Data!K990</f>
        <v/>
      </c>
      <c r="L990" s="4">
        <f>IF(TRIM(Raw_Data!L990)="","No Coupon",TRIM(Raw_Data!L990))</f>
        <v/>
      </c>
      <c r="M990" s="4">
        <f>PROPER(TRIM(Raw_Data!M990))</f>
        <v/>
      </c>
      <c r="N990" s="6">
        <f>ROUND(Raw_Data!N990,2)</f>
        <v/>
      </c>
      <c r="O990" s="7">
        <f>IF(COUNTIF($A$2:$A$1201,A990)&gt;1,"DUPLICATE","Unique")</f>
        <v/>
      </c>
      <c r="P990" s="7">
        <f>IF(COUNTIF($J$2:$J$1201,J990)&gt;1,"DUPLICATE","Unique")</f>
        <v/>
      </c>
      <c r="Q990" s="4">
        <f>IF(TRIM(Raw_Data!L990)="","Yes","No")</f>
        <v/>
      </c>
      <c r="R990" s="4">
        <f>IF(ISNUMBER(B990),"Valid","INVALID")</f>
        <v/>
      </c>
    </row>
    <row r="991">
      <c r="A991" s="4">
        <f>TRIM(Raw_Data!A991)</f>
        <v/>
      </c>
      <c r="B991" s="5">
        <f>Raw_Data!B991</f>
        <v/>
      </c>
      <c r="C991" s="4">
        <f>TRIM(Raw_Data!C991)</f>
        <v/>
      </c>
      <c r="D991" s="4">
        <f>PROPER(TRIM(Raw_Data!D991))</f>
        <v/>
      </c>
      <c r="E991" s="4">
        <f>Raw_Data!E991</f>
        <v/>
      </c>
      <c r="F991" s="6">
        <f>ROUND(Raw_Data!F991,2)</f>
        <v/>
      </c>
      <c r="G991" s="4">
        <f>PROPER(TRIM(Raw_Data!G991))</f>
        <v/>
      </c>
      <c r="H991" s="4">
        <f>PROPER(TRIM(Raw_Data!H991))</f>
        <v/>
      </c>
      <c r="I991" s="4">
        <f>PROPER(TRIM(Raw_Data!I991))</f>
        <v/>
      </c>
      <c r="J991" s="4">
        <f>TRIM(Raw_Data!J991)</f>
        <v/>
      </c>
      <c r="K991" s="4">
        <f>Raw_Data!K991</f>
        <v/>
      </c>
      <c r="L991" s="4">
        <f>IF(TRIM(Raw_Data!L991)="","No Coupon",TRIM(Raw_Data!L991))</f>
        <v/>
      </c>
      <c r="M991" s="4">
        <f>PROPER(TRIM(Raw_Data!M991))</f>
        <v/>
      </c>
      <c r="N991" s="6">
        <f>ROUND(Raw_Data!N991,2)</f>
        <v/>
      </c>
      <c r="O991" s="7">
        <f>IF(COUNTIF($A$2:$A$1201,A991)&gt;1,"DUPLICATE","Unique")</f>
        <v/>
      </c>
      <c r="P991" s="7">
        <f>IF(COUNTIF($J$2:$J$1201,J991)&gt;1,"DUPLICATE","Unique")</f>
        <v/>
      </c>
      <c r="Q991" s="4">
        <f>IF(TRIM(Raw_Data!L991)="","Yes","No")</f>
        <v/>
      </c>
      <c r="R991" s="4">
        <f>IF(ISNUMBER(B991),"Valid","INVALID")</f>
        <v/>
      </c>
    </row>
    <row r="992">
      <c r="A992" s="4">
        <f>TRIM(Raw_Data!A992)</f>
        <v/>
      </c>
      <c r="B992" s="5">
        <f>Raw_Data!B992</f>
        <v/>
      </c>
      <c r="C992" s="4">
        <f>TRIM(Raw_Data!C992)</f>
        <v/>
      </c>
      <c r="D992" s="4">
        <f>PROPER(TRIM(Raw_Data!D992))</f>
        <v/>
      </c>
      <c r="E992" s="4">
        <f>Raw_Data!E992</f>
        <v/>
      </c>
      <c r="F992" s="6">
        <f>ROUND(Raw_Data!F992,2)</f>
        <v/>
      </c>
      <c r="G992" s="4">
        <f>PROPER(TRIM(Raw_Data!G992))</f>
        <v/>
      </c>
      <c r="H992" s="4">
        <f>PROPER(TRIM(Raw_Data!H992))</f>
        <v/>
      </c>
      <c r="I992" s="4">
        <f>PROPER(TRIM(Raw_Data!I992))</f>
        <v/>
      </c>
      <c r="J992" s="4">
        <f>TRIM(Raw_Data!J992)</f>
        <v/>
      </c>
      <c r="K992" s="4">
        <f>Raw_Data!K992</f>
        <v/>
      </c>
      <c r="L992" s="4">
        <f>IF(TRIM(Raw_Data!L992)="","No Coupon",TRIM(Raw_Data!L992))</f>
        <v/>
      </c>
      <c r="M992" s="4">
        <f>PROPER(TRIM(Raw_Data!M992))</f>
        <v/>
      </c>
      <c r="N992" s="6">
        <f>ROUND(Raw_Data!N992,2)</f>
        <v/>
      </c>
      <c r="O992" s="7">
        <f>IF(COUNTIF($A$2:$A$1201,A992)&gt;1,"DUPLICATE","Unique")</f>
        <v/>
      </c>
      <c r="P992" s="7">
        <f>IF(COUNTIF($J$2:$J$1201,J992)&gt;1,"DUPLICATE","Unique")</f>
        <v/>
      </c>
      <c r="Q992" s="4">
        <f>IF(TRIM(Raw_Data!L992)="","Yes","No")</f>
        <v/>
      </c>
      <c r="R992" s="4">
        <f>IF(ISNUMBER(B992),"Valid","INVALID")</f>
        <v/>
      </c>
    </row>
    <row r="993">
      <c r="A993" s="4">
        <f>TRIM(Raw_Data!A993)</f>
        <v/>
      </c>
      <c r="B993" s="5">
        <f>Raw_Data!B993</f>
        <v/>
      </c>
      <c r="C993" s="4">
        <f>TRIM(Raw_Data!C993)</f>
        <v/>
      </c>
      <c r="D993" s="4">
        <f>PROPER(TRIM(Raw_Data!D993))</f>
        <v/>
      </c>
      <c r="E993" s="4">
        <f>Raw_Data!E993</f>
        <v/>
      </c>
      <c r="F993" s="6">
        <f>ROUND(Raw_Data!F993,2)</f>
        <v/>
      </c>
      <c r="G993" s="4">
        <f>PROPER(TRIM(Raw_Data!G993))</f>
        <v/>
      </c>
      <c r="H993" s="4">
        <f>PROPER(TRIM(Raw_Data!H993))</f>
        <v/>
      </c>
      <c r="I993" s="4">
        <f>PROPER(TRIM(Raw_Data!I993))</f>
        <v/>
      </c>
      <c r="J993" s="4">
        <f>TRIM(Raw_Data!J993)</f>
        <v/>
      </c>
      <c r="K993" s="4">
        <f>Raw_Data!K993</f>
        <v/>
      </c>
      <c r="L993" s="4">
        <f>IF(TRIM(Raw_Data!L993)="","No Coupon",TRIM(Raw_Data!L993))</f>
        <v/>
      </c>
      <c r="M993" s="4">
        <f>PROPER(TRIM(Raw_Data!M993))</f>
        <v/>
      </c>
      <c r="N993" s="6">
        <f>ROUND(Raw_Data!N993,2)</f>
        <v/>
      </c>
      <c r="O993" s="7">
        <f>IF(COUNTIF($A$2:$A$1201,A993)&gt;1,"DUPLICATE","Unique")</f>
        <v/>
      </c>
      <c r="P993" s="7">
        <f>IF(COUNTIF($J$2:$J$1201,J993)&gt;1,"DUPLICATE","Unique")</f>
        <v/>
      </c>
      <c r="Q993" s="4">
        <f>IF(TRIM(Raw_Data!L993)="","Yes","No")</f>
        <v/>
      </c>
      <c r="R993" s="4">
        <f>IF(ISNUMBER(B993),"Valid","INVALID")</f>
        <v/>
      </c>
    </row>
    <row r="994">
      <c r="A994" s="4">
        <f>TRIM(Raw_Data!A994)</f>
        <v/>
      </c>
      <c r="B994" s="5">
        <f>Raw_Data!B994</f>
        <v/>
      </c>
      <c r="C994" s="4">
        <f>TRIM(Raw_Data!C994)</f>
        <v/>
      </c>
      <c r="D994" s="4">
        <f>PROPER(TRIM(Raw_Data!D994))</f>
        <v/>
      </c>
      <c r="E994" s="4">
        <f>Raw_Data!E994</f>
        <v/>
      </c>
      <c r="F994" s="6">
        <f>ROUND(Raw_Data!F994,2)</f>
        <v/>
      </c>
      <c r="G994" s="4">
        <f>PROPER(TRIM(Raw_Data!G994))</f>
        <v/>
      </c>
      <c r="H994" s="4">
        <f>PROPER(TRIM(Raw_Data!H994))</f>
        <v/>
      </c>
      <c r="I994" s="4">
        <f>PROPER(TRIM(Raw_Data!I994))</f>
        <v/>
      </c>
      <c r="J994" s="4">
        <f>TRIM(Raw_Data!J994)</f>
        <v/>
      </c>
      <c r="K994" s="4">
        <f>Raw_Data!K994</f>
        <v/>
      </c>
      <c r="L994" s="4">
        <f>IF(TRIM(Raw_Data!L994)="","No Coupon",TRIM(Raw_Data!L994))</f>
        <v/>
      </c>
      <c r="M994" s="4">
        <f>PROPER(TRIM(Raw_Data!M994))</f>
        <v/>
      </c>
      <c r="N994" s="6">
        <f>ROUND(Raw_Data!N994,2)</f>
        <v/>
      </c>
      <c r="O994" s="7">
        <f>IF(COUNTIF($A$2:$A$1201,A994)&gt;1,"DUPLICATE","Unique")</f>
        <v/>
      </c>
      <c r="P994" s="7">
        <f>IF(COUNTIF($J$2:$J$1201,J994)&gt;1,"DUPLICATE","Unique")</f>
        <v/>
      </c>
      <c r="Q994" s="4">
        <f>IF(TRIM(Raw_Data!L994)="","Yes","No")</f>
        <v/>
      </c>
      <c r="R994" s="4">
        <f>IF(ISNUMBER(B994),"Valid","INVALID")</f>
        <v/>
      </c>
    </row>
    <row r="995">
      <c r="A995" s="4">
        <f>TRIM(Raw_Data!A995)</f>
        <v/>
      </c>
      <c r="B995" s="5">
        <f>Raw_Data!B995</f>
        <v/>
      </c>
      <c r="C995" s="4">
        <f>TRIM(Raw_Data!C995)</f>
        <v/>
      </c>
      <c r="D995" s="4">
        <f>PROPER(TRIM(Raw_Data!D995))</f>
        <v/>
      </c>
      <c r="E995" s="4">
        <f>Raw_Data!E995</f>
        <v/>
      </c>
      <c r="F995" s="6">
        <f>ROUND(Raw_Data!F995,2)</f>
        <v/>
      </c>
      <c r="G995" s="4">
        <f>PROPER(TRIM(Raw_Data!G995))</f>
        <v/>
      </c>
      <c r="H995" s="4">
        <f>PROPER(TRIM(Raw_Data!H995))</f>
        <v/>
      </c>
      <c r="I995" s="4">
        <f>PROPER(TRIM(Raw_Data!I995))</f>
        <v/>
      </c>
      <c r="J995" s="4">
        <f>TRIM(Raw_Data!J995)</f>
        <v/>
      </c>
      <c r="K995" s="4">
        <f>Raw_Data!K995</f>
        <v/>
      </c>
      <c r="L995" s="4">
        <f>IF(TRIM(Raw_Data!L995)="","No Coupon",TRIM(Raw_Data!L995))</f>
        <v/>
      </c>
      <c r="M995" s="4">
        <f>PROPER(TRIM(Raw_Data!M995))</f>
        <v/>
      </c>
      <c r="N995" s="6">
        <f>ROUND(Raw_Data!N995,2)</f>
        <v/>
      </c>
      <c r="O995" s="7">
        <f>IF(COUNTIF($A$2:$A$1201,A995)&gt;1,"DUPLICATE","Unique")</f>
        <v/>
      </c>
      <c r="P995" s="7">
        <f>IF(COUNTIF($J$2:$J$1201,J995)&gt;1,"DUPLICATE","Unique")</f>
        <v/>
      </c>
      <c r="Q995" s="4">
        <f>IF(TRIM(Raw_Data!L995)="","Yes","No")</f>
        <v/>
      </c>
      <c r="R995" s="4">
        <f>IF(ISNUMBER(B995),"Valid","INVALID")</f>
        <v/>
      </c>
    </row>
    <row r="996">
      <c r="A996" s="4">
        <f>TRIM(Raw_Data!A996)</f>
        <v/>
      </c>
      <c r="B996" s="5">
        <f>Raw_Data!B996</f>
        <v/>
      </c>
      <c r="C996" s="4">
        <f>TRIM(Raw_Data!C996)</f>
        <v/>
      </c>
      <c r="D996" s="4">
        <f>PROPER(TRIM(Raw_Data!D996))</f>
        <v/>
      </c>
      <c r="E996" s="4">
        <f>Raw_Data!E996</f>
        <v/>
      </c>
      <c r="F996" s="6">
        <f>ROUND(Raw_Data!F996,2)</f>
        <v/>
      </c>
      <c r="G996" s="4">
        <f>PROPER(TRIM(Raw_Data!G996))</f>
        <v/>
      </c>
      <c r="H996" s="4">
        <f>PROPER(TRIM(Raw_Data!H996))</f>
        <v/>
      </c>
      <c r="I996" s="4">
        <f>PROPER(TRIM(Raw_Data!I996))</f>
        <v/>
      </c>
      <c r="J996" s="4">
        <f>TRIM(Raw_Data!J996)</f>
        <v/>
      </c>
      <c r="K996" s="4">
        <f>Raw_Data!K996</f>
        <v/>
      </c>
      <c r="L996" s="4">
        <f>IF(TRIM(Raw_Data!L996)="","No Coupon",TRIM(Raw_Data!L996))</f>
        <v/>
      </c>
      <c r="M996" s="4">
        <f>PROPER(TRIM(Raw_Data!M996))</f>
        <v/>
      </c>
      <c r="N996" s="6">
        <f>ROUND(Raw_Data!N996,2)</f>
        <v/>
      </c>
      <c r="O996" s="7">
        <f>IF(COUNTIF($A$2:$A$1201,A996)&gt;1,"DUPLICATE","Unique")</f>
        <v/>
      </c>
      <c r="P996" s="7">
        <f>IF(COUNTIF($J$2:$J$1201,J996)&gt;1,"DUPLICATE","Unique")</f>
        <v/>
      </c>
      <c r="Q996" s="4">
        <f>IF(TRIM(Raw_Data!L996)="","Yes","No")</f>
        <v/>
      </c>
      <c r="R996" s="4">
        <f>IF(ISNUMBER(B996),"Valid","INVALID")</f>
        <v/>
      </c>
    </row>
    <row r="997">
      <c r="A997" s="4">
        <f>TRIM(Raw_Data!A997)</f>
        <v/>
      </c>
      <c r="B997" s="5">
        <f>Raw_Data!B997</f>
        <v/>
      </c>
      <c r="C997" s="4">
        <f>TRIM(Raw_Data!C997)</f>
        <v/>
      </c>
      <c r="D997" s="4">
        <f>PROPER(TRIM(Raw_Data!D997))</f>
        <v/>
      </c>
      <c r="E997" s="4">
        <f>Raw_Data!E997</f>
        <v/>
      </c>
      <c r="F997" s="6">
        <f>ROUND(Raw_Data!F997,2)</f>
        <v/>
      </c>
      <c r="G997" s="4">
        <f>PROPER(TRIM(Raw_Data!G997))</f>
        <v/>
      </c>
      <c r="H997" s="4">
        <f>PROPER(TRIM(Raw_Data!H997))</f>
        <v/>
      </c>
      <c r="I997" s="4">
        <f>PROPER(TRIM(Raw_Data!I997))</f>
        <v/>
      </c>
      <c r="J997" s="4">
        <f>TRIM(Raw_Data!J997)</f>
        <v/>
      </c>
      <c r="K997" s="4">
        <f>Raw_Data!K997</f>
        <v/>
      </c>
      <c r="L997" s="4">
        <f>IF(TRIM(Raw_Data!L997)="","No Coupon",TRIM(Raw_Data!L997))</f>
        <v/>
      </c>
      <c r="M997" s="4">
        <f>PROPER(TRIM(Raw_Data!M997))</f>
        <v/>
      </c>
      <c r="N997" s="6">
        <f>ROUND(Raw_Data!N997,2)</f>
        <v/>
      </c>
      <c r="O997" s="7">
        <f>IF(COUNTIF($A$2:$A$1201,A997)&gt;1,"DUPLICATE","Unique")</f>
        <v/>
      </c>
      <c r="P997" s="7">
        <f>IF(COUNTIF($J$2:$J$1201,J997)&gt;1,"DUPLICATE","Unique")</f>
        <v/>
      </c>
      <c r="Q997" s="4">
        <f>IF(TRIM(Raw_Data!L997)="","Yes","No")</f>
        <v/>
      </c>
      <c r="R997" s="4">
        <f>IF(ISNUMBER(B997),"Valid","INVALID")</f>
        <v/>
      </c>
    </row>
    <row r="998">
      <c r="A998" s="4">
        <f>TRIM(Raw_Data!A998)</f>
        <v/>
      </c>
      <c r="B998" s="5">
        <f>Raw_Data!B998</f>
        <v/>
      </c>
      <c r="C998" s="4">
        <f>TRIM(Raw_Data!C998)</f>
        <v/>
      </c>
      <c r="D998" s="4">
        <f>PROPER(TRIM(Raw_Data!D998))</f>
        <v/>
      </c>
      <c r="E998" s="4">
        <f>Raw_Data!E998</f>
        <v/>
      </c>
      <c r="F998" s="6">
        <f>ROUND(Raw_Data!F998,2)</f>
        <v/>
      </c>
      <c r="G998" s="4">
        <f>PROPER(TRIM(Raw_Data!G998))</f>
        <v/>
      </c>
      <c r="H998" s="4">
        <f>PROPER(TRIM(Raw_Data!H998))</f>
        <v/>
      </c>
      <c r="I998" s="4">
        <f>PROPER(TRIM(Raw_Data!I998))</f>
        <v/>
      </c>
      <c r="J998" s="4">
        <f>TRIM(Raw_Data!J998)</f>
        <v/>
      </c>
      <c r="K998" s="4">
        <f>Raw_Data!K998</f>
        <v/>
      </c>
      <c r="L998" s="4">
        <f>IF(TRIM(Raw_Data!L998)="","No Coupon",TRIM(Raw_Data!L998))</f>
        <v/>
      </c>
      <c r="M998" s="4">
        <f>PROPER(TRIM(Raw_Data!M998))</f>
        <v/>
      </c>
      <c r="N998" s="6">
        <f>ROUND(Raw_Data!N998,2)</f>
        <v/>
      </c>
      <c r="O998" s="7">
        <f>IF(COUNTIF($A$2:$A$1201,A998)&gt;1,"DUPLICATE","Unique")</f>
        <v/>
      </c>
      <c r="P998" s="7">
        <f>IF(COUNTIF($J$2:$J$1201,J998)&gt;1,"DUPLICATE","Unique")</f>
        <v/>
      </c>
      <c r="Q998" s="4">
        <f>IF(TRIM(Raw_Data!L998)="","Yes","No")</f>
        <v/>
      </c>
      <c r="R998" s="4">
        <f>IF(ISNUMBER(B998),"Valid","INVALID")</f>
        <v/>
      </c>
    </row>
    <row r="999">
      <c r="A999" s="4">
        <f>TRIM(Raw_Data!A999)</f>
        <v/>
      </c>
      <c r="B999" s="5">
        <f>Raw_Data!B999</f>
        <v/>
      </c>
      <c r="C999" s="4">
        <f>TRIM(Raw_Data!C999)</f>
        <v/>
      </c>
      <c r="D999" s="4">
        <f>PROPER(TRIM(Raw_Data!D999))</f>
        <v/>
      </c>
      <c r="E999" s="4">
        <f>Raw_Data!E999</f>
        <v/>
      </c>
      <c r="F999" s="6">
        <f>ROUND(Raw_Data!F999,2)</f>
        <v/>
      </c>
      <c r="G999" s="4">
        <f>PROPER(TRIM(Raw_Data!G999))</f>
        <v/>
      </c>
      <c r="H999" s="4">
        <f>PROPER(TRIM(Raw_Data!H999))</f>
        <v/>
      </c>
      <c r="I999" s="4">
        <f>PROPER(TRIM(Raw_Data!I999))</f>
        <v/>
      </c>
      <c r="J999" s="4">
        <f>TRIM(Raw_Data!J999)</f>
        <v/>
      </c>
      <c r="K999" s="4">
        <f>Raw_Data!K999</f>
        <v/>
      </c>
      <c r="L999" s="4">
        <f>IF(TRIM(Raw_Data!L999)="","No Coupon",TRIM(Raw_Data!L999))</f>
        <v/>
      </c>
      <c r="M999" s="4">
        <f>PROPER(TRIM(Raw_Data!M999))</f>
        <v/>
      </c>
      <c r="N999" s="6">
        <f>ROUND(Raw_Data!N999,2)</f>
        <v/>
      </c>
      <c r="O999" s="7">
        <f>IF(COUNTIF($A$2:$A$1201,A999)&gt;1,"DUPLICATE","Unique")</f>
        <v/>
      </c>
      <c r="P999" s="7">
        <f>IF(COUNTIF($J$2:$J$1201,J999)&gt;1,"DUPLICATE","Unique")</f>
        <v/>
      </c>
      <c r="Q999" s="4">
        <f>IF(TRIM(Raw_Data!L999)="","Yes","No")</f>
        <v/>
      </c>
      <c r="R999" s="4">
        <f>IF(ISNUMBER(B999),"Valid","INVALID")</f>
        <v/>
      </c>
    </row>
    <row r="1000">
      <c r="A1000" s="4">
        <f>TRIM(Raw_Data!A1000)</f>
        <v/>
      </c>
      <c r="B1000" s="5">
        <f>Raw_Data!B1000</f>
        <v/>
      </c>
      <c r="C1000" s="4">
        <f>TRIM(Raw_Data!C1000)</f>
        <v/>
      </c>
      <c r="D1000" s="4">
        <f>PROPER(TRIM(Raw_Data!D1000))</f>
        <v/>
      </c>
      <c r="E1000" s="4">
        <f>Raw_Data!E1000</f>
        <v/>
      </c>
      <c r="F1000" s="6">
        <f>ROUND(Raw_Data!F1000,2)</f>
        <v/>
      </c>
      <c r="G1000" s="4">
        <f>PROPER(TRIM(Raw_Data!G1000))</f>
        <v/>
      </c>
      <c r="H1000" s="4">
        <f>PROPER(TRIM(Raw_Data!H1000))</f>
        <v/>
      </c>
      <c r="I1000" s="4">
        <f>PROPER(TRIM(Raw_Data!I1000))</f>
        <v/>
      </c>
      <c r="J1000" s="4">
        <f>TRIM(Raw_Data!J1000)</f>
        <v/>
      </c>
      <c r="K1000" s="4">
        <f>Raw_Data!K1000</f>
        <v/>
      </c>
      <c r="L1000" s="4">
        <f>IF(TRIM(Raw_Data!L1000)="","No Coupon",TRIM(Raw_Data!L1000))</f>
        <v/>
      </c>
      <c r="M1000" s="4">
        <f>PROPER(TRIM(Raw_Data!M1000))</f>
        <v/>
      </c>
      <c r="N1000" s="6">
        <f>ROUND(Raw_Data!N1000,2)</f>
        <v/>
      </c>
      <c r="O1000" s="7">
        <f>IF(COUNTIF($A$2:$A$1201,A1000)&gt;1,"DUPLICATE","Unique")</f>
        <v/>
      </c>
      <c r="P1000" s="7">
        <f>IF(COUNTIF($J$2:$J$1201,J1000)&gt;1,"DUPLICATE","Unique")</f>
        <v/>
      </c>
      <c r="Q1000" s="4">
        <f>IF(TRIM(Raw_Data!L1000)="","Yes","No")</f>
        <v/>
      </c>
      <c r="R1000" s="4">
        <f>IF(ISNUMBER(B1000),"Valid","INVALID")</f>
        <v/>
      </c>
    </row>
    <row r="1001">
      <c r="A1001" s="4">
        <f>TRIM(Raw_Data!A1001)</f>
        <v/>
      </c>
      <c r="B1001" s="5">
        <f>Raw_Data!B1001</f>
        <v/>
      </c>
      <c r="C1001" s="4">
        <f>TRIM(Raw_Data!C1001)</f>
        <v/>
      </c>
      <c r="D1001" s="4">
        <f>PROPER(TRIM(Raw_Data!D1001))</f>
        <v/>
      </c>
      <c r="E1001" s="4">
        <f>Raw_Data!E1001</f>
        <v/>
      </c>
      <c r="F1001" s="6">
        <f>ROUND(Raw_Data!F1001,2)</f>
        <v/>
      </c>
      <c r="G1001" s="4">
        <f>PROPER(TRIM(Raw_Data!G1001))</f>
        <v/>
      </c>
      <c r="H1001" s="4">
        <f>PROPER(TRIM(Raw_Data!H1001))</f>
        <v/>
      </c>
      <c r="I1001" s="4">
        <f>PROPER(TRIM(Raw_Data!I1001))</f>
        <v/>
      </c>
      <c r="J1001" s="4">
        <f>TRIM(Raw_Data!J1001)</f>
        <v/>
      </c>
      <c r="K1001" s="4">
        <f>Raw_Data!K1001</f>
        <v/>
      </c>
      <c r="L1001" s="4">
        <f>IF(TRIM(Raw_Data!L1001)="","No Coupon",TRIM(Raw_Data!L1001))</f>
        <v/>
      </c>
      <c r="M1001" s="4">
        <f>PROPER(TRIM(Raw_Data!M1001))</f>
        <v/>
      </c>
      <c r="N1001" s="6">
        <f>ROUND(Raw_Data!N1001,2)</f>
        <v/>
      </c>
      <c r="O1001" s="7">
        <f>IF(COUNTIF($A$2:$A$1201,A1001)&gt;1,"DUPLICATE","Unique")</f>
        <v/>
      </c>
      <c r="P1001" s="7">
        <f>IF(COUNTIF($J$2:$J$1201,J1001)&gt;1,"DUPLICATE","Unique")</f>
        <v/>
      </c>
      <c r="Q1001" s="4">
        <f>IF(TRIM(Raw_Data!L1001)="","Yes","No")</f>
        <v/>
      </c>
      <c r="R1001" s="4">
        <f>IF(ISNUMBER(B1001),"Valid","INVALID")</f>
        <v/>
      </c>
    </row>
    <row r="1002">
      <c r="A1002" s="4">
        <f>TRIM(Raw_Data!A1002)</f>
        <v/>
      </c>
      <c r="B1002" s="5">
        <f>Raw_Data!B1002</f>
        <v/>
      </c>
      <c r="C1002" s="4">
        <f>TRIM(Raw_Data!C1002)</f>
        <v/>
      </c>
      <c r="D1002" s="4">
        <f>PROPER(TRIM(Raw_Data!D1002))</f>
        <v/>
      </c>
      <c r="E1002" s="4">
        <f>Raw_Data!E1002</f>
        <v/>
      </c>
      <c r="F1002" s="6">
        <f>ROUND(Raw_Data!F1002,2)</f>
        <v/>
      </c>
      <c r="G1002" s="4">
        <f>PROPER(TRIM(Raw_Data!G1002))</f>
        <v/>
      </c>
      <c r="H1002" s="4">
        <f>PROPER(TRIM(Raw_Data!H1002))</f>
        <v/>
      </c>
      <c r="I1002" s="4">
        <f>PROPER(TRIM(Raw_Data!I1002))</f>
        <v/>
      </c>
      <c r="J1002" s="4">
        <f>TRIM(Raw_Data!J1002)</f>
        <v/>
      </c>
      <c r="K1002" s="4">
        <f>Raw_Data!K1002</f>
        <v/>
      </c>
      <c r="L1002" s="4">
        <f>IF(TRIM(Raw_Data!L1002)="","No Coupon",TRIM(Raw_Data!L1002))</f>
        <v/>
      </c>
      <c r="M1002" s="4">
        <f>PROPER(TRIM(Raw_Data!M1002))</f>
        <v/>
      </c>
      <c r="N1002" s="6">
        <f>ROUND(Raw_Data!N1002,2)</f>
        <v/>
      </c>
      <c r="O1002" s="7">
        <f>IF(COUNTIF($A$2:$A$1201,A1002)&gt;1,"DUPLICATE","Unique")</f>
        <v/>
      </c>
      <c r="P1002" s="7">
        <f>IF(COUNTIF($J$2:$J$1201,J1002)&gt;1,"DUPLICATE","Unique")</f>
        <v/>
      </c>
      <c r="Q1002" s="4">
        <f>IF(TRIM(Raw_Data!L1002)="","Yes","No")</f>
        <v/>
      </c>
      <c r="R1002" s="4">
        <f>IF(ISNUMBER(B1002),"Valid","INVALID")</f>
        <v/>
      </c>
    </row>
    <row r="1003">
      <c r="A1003" s="4">
        <f>TRIM(Raw_Data!A1003)</f>
        <v/>
      </c>
      <c r="B1003" s="5">
        <f>Raw_Data!B1003</f>
        <v/>
      </c>
      <c r="C1003" s="4">
        <f>TRIM(Raw_Data!C1003)</f>
        <v/>
      </c>
      <c r="D1003" s="4">
        <f>PROPER(TRIM(Raw_Data!D1003))</f>
        <v/>
      </c>
      <c r="E1003" s="4">
        <f>Raw_Data!E1003</f>
        <v/>
      </c>
      <c r="F1003" s="6">
        <f>ROUND(Raw_Data!F1003,2)</f>
        <v/>
      </c>
      <c r="G1003" s="4">
        <f>PROPER(TRIM(Raw_Data!G1003))</f>
        <v/>
      </c>
      <c r="H1003" s="4">
        <f>PROPER(TRIM(Raw_Data!H1003))</f>
        <v/>
      </c>
      <c r="I1003" s="4">
        <f>PROPER(TRIM(Raw_Data!I1003))</f>
        <v/>
      </c>
      <c r="J1003" s="4">
        <f>TRIM(Raw_Data!J1003)</f>
        <v/>
      </c>
      <c r="K1003" s="4">
        <f>Raw_Data!K1003</f>
        <v/>
      </c>
      <c r="L1003" s="4">
        <f>IF(TRIM(Raw_Data!L1003)="","No Coupon",TRIM(Raw_Data!L1003))</f>
        <v/>
      </c>
      <c r="M1003" s="4">
        <f>PROPER(TRIM(Raw_Data!M1003))</f>
        <v/>
      </c>
      <c r="N1003" s="6">
        <f>ROUND(Raw_Data!N1003,2)</f>
        <v/>
      </c>
      <c r="O1003" s="7">
        <f>IF(COUNTIF($A$2:$A$1201,A1003)&gt;1,"DUPLICATE","Unique")</f>
        <v/>
      </c>
      <c r="P1003" s="7">
        <f>IF(COUNTIF($J$2:$J$1201,J1003)&gt;1,"DUPLICATE","Unique")</f>
        <v/>
      </c>
      <c r="Q1003" s="4">
        <f>IF(TRIM(Raw_Data!L1003)="","Yes","No")</f>
        <v/>
      </c>
      <c r="R1003" s="4">
        <f>IF(ISNUMBER(B1003),"Valid","INVALID")</f>
        <v/>
      </c>
    </row>
    <row r="1004">
      <c r="A1004" s="4">
        <f>TRIM(Raw_Data!A1004)</f>
        <v/>
      </c>
      <c r="B1004" s="5">
        <f>Raw_Data!B1004</f>
        <v/>
      </c>
      <c r="C1004" s="4">
        <f>TRIM(Raw_Data!C1004)</f>
        <v/>
      </c>
      <c r="D1004" s="4">
        <f>PROPER(TRIM(Raw_Data!D1004))</f>
        <v/>
      </c>
      <c r="E1004" s="4">
        <f>Raw_Data!E1004</f>
        <v/>
      </c>
      <c r="F1004" s="6">
        <f>ROUND(Raw_Data!F1004,2)</f>
        <v/>
      </c>
      <c r="G1004" s="4">
        <f>PROPER(TRIM(Raw_Data!G1004))</f>
        <v/>
      </c>
      <c r="H1004" s="4">
        <f>PROPER(TRIM(Raw_Data!H1004))</f>
        <v/>
      </c>
      <c r="I1004" s="4">
        <f>PROPER(TRIM(Raw_Data!I1004))</f>
        <v/>
      </c>
      <c r="J1004" s="4">
        <f>TRIM(Raw_Data!J1004)</f>
        <v/>
      </c>
      <c r="K1004" s="4">
        <f>Raw_Data!K1004</f>
        <v/>
      </c>
      <c r="L1004" s="4">
        <f>IF(TRIM(Raw_Data!L1004)="","No Coupon",TRIM(Raw_Data!L1004))</f>
        <v/>
      </c>
      <c r="M1004" s="4">
        <f>PROPER(TRIM(Raw_Data!M1004))</f>
        <v/>
      </c>
      <c r="N1004" s="6">
        <f>ROUND(Raw_Data!N1004,2)</f>
        <v/>
      </c>
      <c r="O1004" s="7">
        <f>IF(COUNTIF($A$2:$A$1201,A1004)&gt;1,"DUPLICATE","Unique")</f>
        <v/>
      </c>
      <c r="P1004" s="7">
        <f>IF(COUNTIF($J$2:$J$1201,J1004)&gt;1,"DUPLICATE","Unique")</f>
        <v/>
      </c>
      <c r="Q1004" s="4">
        <f>IF(TRIM(Raw_Data!L1004)="","Yes","No")</f>
        <v/>
      </c>
      <c r="R1004" s="4">
        <f>IF(ISNUMBER(B1004),"Valid","INVALID")</f>
        <v/>
      </c>
    </row>
    <row r="1005">
      <c r="A1005" s="4">
        <f>TRIM(Raw_Data!A1005)</f>
        <v/>
      </c>
      <c r="B1005" s="5">
        <f>Raw_Data!B1005</f>
        <v/>
      </c>
      <c r="C1005" s="4">
        <f>TRIM(Raw_Data!C1005)</f>
        <v/>
      </c>
      <c r="D1005" s="4">
        <f>PROPER(TRIM(Raw_Data!D1005))</f>
        <v/>
      </c>
      <c r="E1005" s="4">
        <f>Raw_Data!E1005</f>
        <v/>
      </c>
      <c r="F1005" s="6">
        <f>ROUND(Raw_Data!F1005,2)</f>
        <v/>
      </c>
      <c r="G1005" s="4">
        <f>PROPER(TRIM(Raw_Data!G1005))</f>
        <v/>
      </c>
      <c r="H1005" s="4">
        <f>PROPER(TRIM(Raw_Data!H1005))</f>
        <v/>
      </c>
      <c r="I1005" s="4">
        <f>PROPER(TRIM(Raw_Data!I1005))</f>
        <v/>
      </c>
      <c r="J1005" s="4">
        <f>TRIM(Raw_Data!J1005)</f>
        <v/>
      </c>
      <c r="K1005" s="4">
        <f>Raw_Data!K1005</f>
        <v/>
      </c>
      <c r="L1005" s="4">
        <f>IF(TRIM(Raw_Data!L1005)="","No Coupon",TRIM(Raw_Data!L1005))</f>
        <v/>
      </c>
      <c r="M1005" s="4">
        <f>PROPER(TRIM(Raw_Data!M1005))</f>
        <v/>
      </c>
      <c r="N1005" s="6">
        <f>ROUND(Raw_Data!N1005,2)</f>
        <v/>
      </c>
      <c r="O1005" s="7">
        <f>IF(COUNTIF($A$2:$A$1201,A1005)&gt;1,"DUPLICATE","Unique")</f>
        <v/>
      </c>
      <c r="P1005" s="7">
        <f>IF(COUNTIF($J$2:$J$1201,J1005)&gt;1,"DUPLICATE","Unique")</f>
        <v/>
      </c>
      <c r="Q1005" s="4">
        <f>IF(TRIM(Raw_Data!L1005)="","Yes","No")</f>
        <v/>
      </c>
      <c r="R1005" s="4">
        <f>IF(ISNUMBER(B1005),"Valid","INVALID")</f>
        <v/>
      </c>
    </row>
    <row r="1006">
      <c r="A1006" s="4">
        <f>TRIM(Raw_Data!A1006)</f>
        <v/>
      </c>
      <c r="B1006" s="5">
        <f>Raw_Data!B1006</f>
        <v/>
      </c>
      <c r="C1006" s="4">
        <f>TRIM(Raw_Data!C1006)</f>
        <v/>
      </c>
      <c r="D1006" s="4">
        <f>PROPER(TRIM(Raw_Data!D1006))</f>
        <v/>
      </c>
      <c r="E1006" s="4">
        <f>Raw_Data!E1006</f>
        <v/>
      </c>
      <c r="F1006" s="6">
        <f>ROUND(Raw_Data!F1006,2)</f>
        <v/>
      </c>
      <c r="G1006" s="4">
        <f>PROPER(TRIM(Raw_Data!G1006))</f>
        <v/>
      </c>
      <c r="H1006" s="4">
        <f>PROPER(TRIM(Raw_Data!H1006))</f>
        <v/>
      </c>
      <c r="I1006" s="4">
        <f>PROPER(TRIM(Raw_Data!I1006))</f>
        <v/>
      </c>
      <c r="J1006" s="4">
        <f>TRIM(Raw_Data!J1006)</f>
        <v/>
      </c>
      <c r="K1006" s="4">
        <f>Raw_Data!K1006</f>
        <v/>
      </c>
      <c r="L1006" s="4">
        <f>IF(TRIM(Raw_Data!L1006)="","No Coupon",TRIM(Raw_Data!L1006))</f>
        <v/>
      </c>
      <c r="M1006" s="4">
        <f>PROPER(TRIM(Raw_Data!M1006))</f>
        <v/>
      </c>
      <c r="N1006" s="6">
        <f>ROUND(Raw_Data!N1006,2)</f>
        <v/>
      </c>
      <c r="O1006" s="7">
        <f>IF(COUNTIF($A$2:$A$1201,A1006)&gt;1,"DUPLICATE","Unique")</f>
        <v/>
      </c>
      <c r="P1006" s="7">
        <f>IF(COUNTIF($J$2:$J$1201,J1006)&gt;1,"DUPLICATE","Unique")</f>
        <v/>
      </c>
      <c r="Q1006" s="4">
        <f>IF(TRIM(Raw_Data!L1006)="","Yes","No")</f>
        <v/>
      </c>
      <c r="R1006" s="4">
        <f>IF(ISNUMBER(B1006),"Valid","INVALID")</f>
        <v/>
      </c>
    </row>
    <row r="1007">
      <c r="A1007" s="4">
        <f>TRIM(Raw_Data!A1007)</f>
        <v/>
      </c>
      <c r="B1007" s="5">
        <f>Raw_Data!B1007</f>
        <v/>
      </c>
      <c r="C1007" s="4">
        <f>TRIM(Raw_Data!C1007)</f>
        <v/>
      </c>
      <c r="D1007" s="4">
        <f>PROPER(TRIM(Raw_Data!D1007))</f>
        <v/>
      </c>
      <c r="E1007" s="4">
        <f>Raw_Data!E1007</f>
        <v/>
      </c>
      <c r="F1007" s="6">
        <f>ROUND(Raw_Data!F1007,2)</f>
        <v/>
      </c>
      <c r="G1007" s="4">
        <f>PROPER(TRIM(Raw_Data!G1007))</f>
        <v/>
      </c>
      <c r="H1007" s="4">
        <f>PROPER(TRIM(Raw_Data!H1007))</f>
        <v/>
      </c>
      <c r="I1007" s="4">
        <f>PROPER(TRIM(Raw_Data!I1007))</f>
        <v/>
      </c>
      <c r="J1007" s="4">
        <f>TRIM(Raw_Data!J1007)</f>
        <v/>
      </c>
      <c r="K1007" s="4">
        <f>Raw_Data!K1007</f>
        <v/>
      </c>
      <c r="L1007" s="4">
        <f>IF(TRIM(Raw_Data!L1007)="","No Coupon",TRIM(Raw_Data!L1007))</f>
        <v/>
      </c>
      <c r="M1007" s="4">
        <f>PROPER(TRIM(Raw_Data!M1007))</f>
        <v/>
      </c>
      <c r="N1007" s="6">
        <f>ROUND(Raw_Data!N1007,2)</f>
        <v/>
      </c>
      <c r="O1007" s="7">
        <f>IF(COUNTIF($A$2:$A$1201,A1007)&gt;1,"DUPLICATE","Unique")</f>
        <v/>
      </c>
      <c r="P1007" s="7">
        <f>IF(COUNTIF($J$2:$J$1201,J1007)&gt;1,"DUPLICATE","Unique")</f>
        <v/>
      </c>
      <c r="Q1007" s="4">
        <f>IF(TRIM(Raw_Data!L1007)="","Yes","No")</f>
        <v/>
      </c>
      <c r="R1007" s="4">
        <f>IF(ISNUMBER(B1007),"Valid","INVALID")</f>
        <v/>
      </c>
    </row>
    <row r="1008">
      <c r="A1008" s="4">
        <f>TRIM(Raw_Data!A1008)</f>
        <v/>
      </c>
      <c r="B1008" s="5">
        <f>Raw_Data!B1008</f>
        <v/>
      </c>
      <c r="C1008" s="4">
        <f>TRIM(Raw_Data!C1008)</f>
        <v/>
      </c>
      <c r="D1008" s="4">
        <f>PROPER(TRIM(Raw_Data!D1008))</f>
        <v/>
      </c>
      <c r="E1008" s="4">
        <f>Raw_Data!E1008</f>
        <v/>
      </c>
      <c r="F1008" s="6">
        <f>ROUND(Raw_Data!F1008,2)</f>
        <v/>
      </c>
      <c r="G1008" s="4">
        <f>PROPER(TRIM(Raw_Data!G1008))</f>
        <v/>
      </c>
      <c r="H1008" s="4">
        <f>PROPER(TRIM(Raw_Data!H1008))</f>
        <v/>
      </c>
      <c r="I1008" s="4">
        <f>PROPER(TRIM(Raw_Data!I1008))</f>
        <v/>
      </c>
      <c r="J1008" s="4">
        <f>TRIM(Raw_Data!J1008)</f>
        <v/>
      </c>
      <c r="K1008" s="4">
        <f>Raw_Data!K1008</f>
        <v/>
      </c>
      <c r="L1008" s="4">
        <f>IF(TRIM(Raw_Data!L1008)="","No Coupon",TRIM(Raw_Data!L1008))</f>
        <v/>
      </c>
      <c r="M1008" s="4">
        <f>PROPER(TRIM(Raw_Data!M1008))</f>
        <v/>
      </c>
      <c r="N1008" s="6">
        <f>ROUND(Raw_Data!N1008,2)</f>
        <v/>
      </c>
      <c r="O1008" s="7">
        <f>IF(COUNTIF($A$2:$A$1201,A1008)&gt;1,"DUPLICATE","Unique")</f>
        <v/>
      </c>
      <c r="P1008" s="7">
        <f>IF(COUNTIF($J$2:$J$1201,J1008)&gt;1,"DUPLICATE","Unique")</f>
        <v/>
      </c>
      <c r="Q1008" s="4">
        <f>IF(TRIM(Raw_Data!L1008)="","Yes","No")</f>
        <v/>
      </c>
      <c r="R1008" s="4">
        <f>IF(ISNUMBER(B1008),"Valid","INVALID")</f>
        <v/>
      </c>
    </row>
    <row r="1009">
      <c r="A1009" s="4">
        <f>TRIM(Raw_Data!A1009)</f>
        <v/>
      </c>
      <c r="B1009" s="5">
        <f>Raw_Data!B1009</f>
        <v/>
      </c>
      <c r="C1009" s="4">
        <f>TRIM(Raw_Data!C1009)</f>
        <v/>
      </c>
      <c r="D1009" s="4">
        <f>PROPER(TRIM(Raw_Data!D1009))</f>
        <v/>
      </c>
      <c r="E1009" s="4">
        <f>Raw_Data!E1009</f>
        <v/>
      </c>
      <c r="F1009" s="6">
        <f>ROUND(Raw_Data!F1009,2)</f>
        <v/>
      </c>
      <c r="G1009" s="4">
        <f>PROPER(TRIM(Raw_Data!G1009))</f>
        <v/>
      </c>
      <c r="H1009" s="4">
        <f>PROPER(TRIM(Raw_Data!H1009))</f>
        <v/>
      </c>
      <c r="I1009" s="4">
        <f>PROPER(TRIM(Raw_Data!I1009))</f>
        <v/>
      </c>
      <c r="J1009" s="4">
        <f>TRIM(Raw_Data!J1009)</f>
        <v/>
      </c>
      <c r="K1009" s="4">
        <f>Raw_Data!K1009</f>
        <v/>
      </c>
      <c r="L1009" s="4">
        <f>IF(TRIM(Raw_Data!L1009)="","No Coupon",TRIM(Raw_Data!L1009))</f>
        <v/>
      </c>
      <c r="M1009" s="4">
        <f>PROPER(TRIM(Raw_Data!M1009))</f>
        <v/>
      </c>
      <c r="N1009" s="6">
        <f>ROUND(Raw_Data!N1009,2)</f>
        <v/>
      </c>
      <c r="O1009" s="7">
        <f>IF(COUNTIF($A$2:$A$1201,A1009)&gt;1,"DUPLICATE","Unique")</f>
        <v/>
      </c>
      <c r="P1009" s="7">
        <f>IF(COUNTIF($J$2:$J$1201,J1009)&gt;1,"DUPLICATE","Unique")</f>
        <v/>
      </c>
      <c r="Q1009" s="4">
        <f>IF(TRIM(Raw_Data!L1009)="","Yes","No")</f>
        <v/>
      </c>
      <c r="R1009" s="4">
        <f>IF(ISNUMBER(B1009),"Valid","INVALID")</f>
        <v/>
      </c>
    </row>
    <row r="1010">
      <c r="A1010" s="4">
        <f>TRIM(Raw_Data!A1010)</f>
        <v/>
      </c>
      <c r="B1010" s="5">
        <f>Raw_Data!B1010</f>
        <v/>
      </c>
      <c r="C1010" s="4">
        <f>TRIM(Raw_Data!C1010)</f>
        <v/>
      </c>
      <c r="D1010" s="4">
        <f>PROPER(TRIM(Raw_Data!D1010))</f>
        <v/>
      </c>
      <c r="E1010" s="4">
        <f>Raw_Data!E1010</f>
        <v/>
      </c>
      <c r="F1010" s="6">
        <f>ROUND(Raw_Data!F1010,2)</f>
        <v/>
      </c>
      <c r="G1010" s="4">
        <f>PROPER(TRIM(Raw_Data!G1010))</f>
        <v/>
      </c>
      <c r="H1010" s="4">
        <f>PROPER(TRIM(Raw_Data!H1010))</f>
        <v/>
      </c>
      <c r="I1010" s="4">
        <f>PROPER(TRIM(Raw_Data!I1010))</f>
        <v/>
      </c>
      <c r="J1010" s="4">
        <f>TRIM(Raw_Data!J1010)</f>
        <v/>
      </c>
      <c r="K1010" s="4">
        <f>Raw_Data!K1010</f>
        <v/>
      </c>
      <c r="L1010" s="4">
        <f>IF(TRIM(Raw_Data!L1010)="","No Coupon",TRIM(Raw_Data!L1010))</f>
        <v/>
      </c>
      <c r="M1010" s="4">
        <f>PROPER(TRIM(Raw_Data!M1010))</f>
        <v/>
      </c>
      <c r="N1010" s="6">
        <f>ROUND(Raw_Data!N1010,2)</f>
        <v/>
      </c>
      <c r="O1010" s="7">
        <f>IF(COUNTIF($A$2:$A$1201,A1010)&gt;1,"DUPLICATE","Unique")</f>
        <v/>
      </c>
      <c r="P1010" s="7">
        <f>IF(COUNTIF($J$2:$J$1201,J1010)&gt;1,"DUPLICATE","Unique")</f>
        <v/>
      </c>
      <c r="Q1010" s="4">
        <f>IF(TRIM(Raw_Data!L1010)="","Yes","No")</f>
        <v/>
      </c>
      <c r="R1010" s="4">
        <f>IF(ISNUMBER(B1010),"Valid","INVALID")</f>
        <v/>
      </c>
    </row>
    <row r="1011">
      <c r="A1011" s="4">
        <f>TRIM(Raw_Data!A1011)</f>
        <v/>
      </c>
      <c r="B1011" s="5">
        <f>Raw_Data!B1011</f>
        <v/>
      </c>
      <c r="C1011" s="4">
        <f>TRIM(Raw_Data!C1011)</f>
        <v/>
      </c>
      <c r="D1011" s="4">
        <f>PROPER(TRIM(Raw_Data!D1011))</f>
        <v/>
      </c>
      <c r="E1011" s="4">
        <f>Raw_Data!E1011</f>
        <v/>
      </c>
      <c r="F1011" s="6">
        <f>ROUND(Raw_Data!F1011,2)</f>
        <v/>
      </c>
      <c r="G1011" s="4">
        <f>PROPER(TRIM(Raw_Data!G1011))</f>
        <v/>
      </c>
      <c r="H1011" s="4">
        <f>PROPER(TRIM(Raw_Data!H1011))</f>
        <v/>
      </c>
      <c r="I1011" s="4">
        <f>PROPER(TRIM(Raw_Data!I1011))</f>
        <v/>
      </c>
      <c r="J1011" s="4">
        <f>TRIM(Raw_Data!J1011)</f>
        <v/>
      </c>
      <c r="K1011" s="4">
        <f>Raw_Data!K1011</f>
        <v/>
      </c>
      <c r="L1011" s="4">
        <f>IF(TRIM(Raw_Data!L1011)="","No Coupon",TRIM(Raw_Data!L1011))</f>
        <v/>
      </c>
      <c r="M1011" s="4">
        <f>PROPER(TRIM(Raw_Data!M1011))</f>
        <v/>
      </c>
      <c r="N1011" s="6">
        <f>ROUND(Raw_Data!N1011,2)</f>
        <v/>
      </c>
      <c r="O1011" s="7">
        <f>IF(COUNTIF($A$2:$A$1201,A1011)&gt;1,"DUPLICATE","Unique")</f>
        <v/>
      </c>
      <c r="P1011" s="7">
        <f>IF(COUNTIF($J$2:$J$1201,J1011)&gt;1,"DUPLICATE","Unique")</f>
        <v/>
      </c>
      <c r="Q1011" s="4">
        <f>IF(TRIM(Raw_Data!L1011)="","Yes","No")</f>
        <v/>
      </c>
      <c r="R1011" s="4">
        <f>IF(ISNUMBER(B1011),"Valid","INVALID")</f>
        <v/>
      </c>
    </row>
    <row r="1012">
      <c r="A1012" s="4">
        <f>TRIM(Raw_Data!A1012)</f>
        <v/>
      </c>
      <c r="B1012" s="5">
        <f>Raw_Data!B1012</f>
        <v/>
      </c>
      <c r="C1012" s="4">
        <f>TRIM(Raw_Data!C1012)</f>
        <v/>
      </c>
      <c r="D1012" s="4">
        <f>PROPER(TRIM(Raw_Data!D1012))</f>
        <v/>
      </c>
      <c r="E1012" s="4">
        <f>Raw_Data!E1012</f>
        <v/>
      </c>
      <c r="F1012" s="6">
        <f>ROUND(Raw_Data!F1012,2)</f>
        <v/>
      </c>
      <c r="G1012" s="4">
        <f>PROPER(TRIM(Raw_Data!G1012))</f>
        <v/>
      </c>
      <c r="H1012" s="4">
        <f>PROPER(TRIM(Raw_Data!H1012))</f>
        <v/>
      </c>
      <c r="I1012" s="4">
        <f>PROPER(TRIM(Raw_Data!I1012))</f>
        <v/>
      </c>
      <c r="J1012" s="4">
        <f>TRIM(Raw_Data!J1012)</f>
        <v/>
      </c>
      <c r="K1012" s="4">
        <f>Raw_Data!K1012</f>
        <v/>
      </c>
      <c r="L1012" s="4">
        <f>IF(TRIM(Raw_Data!L1012)="","No Coupon",TRIM(Raw_Data!L1012))</f>
        <v/>
      </c>
      <c r="M1012" s="4">
        <f>PROPER(TRIM(Raw_Data!M1012))</f>
        <v/>
      </c>
      <c r="N1012" s="6">
        <f>ROUND(Raw_Data!N1012,2)</f>
        <v/>
      </c>
      <c r="O1012" s="7">
        <f>IF(COUNTIF($A$2:$A$1201,A1012)&gt;1,"DUPLICATE","Unique")</f>
        <v/>
      </c>
      <c r="P1012" s="7">
        <f>IF(COUNTIF($J$2:$J$1201,J1012)&gt;1,"DUPLICATE","Unique")</f>
        <v/>
      </c>
      <c r="Q1012" s="4">
        <f>IF(TRIM(Raw_Data!L1012)="","Yes","No")</f>
        <v/>
      </c>
      <c r="R1012" s="4">
        <f>IF(ISNUMBER(B1012),"Valid","INVALID")</f>
        <v/>
      </c>
    </row>
    <row r="1013">
      <c r="A1013" s="4">
        <f>TRIM(Raw_Data!A1013)</f>
        <v/>
      </c>
      <c r="B1013" s="5">
        <f>Raw_Data!B1013</f>
        <v/>
      </c>
      <c r="C1013" s="4">
        <f>TRIM(Raw_Data!C1013)</f>
        <v/>
      </c>
      <c r="D1013" s="4">
        <f>PROPER(TRIM(Raw_Data!D1013))</f>
        <v/>
      </c>
      <c r="E1013" s="4">
        <f>Raw_Data!E1013</f>
        <v/>
      </c>
      <c r="F1013" s="6">
        <f>ROUND(Raw_Data!F1013,2)</f>
        <v/>
      </c>
      <c r="G1013" s="4">
        <f>PROPER(TRIM(Raw_Data!G1013))</f>
        <v/>
      </c>
      <c r="H1013" s="4">
        <f>PROPER(TRIM(Raw_Data!H1013))</f>
        <v/>
      </c>
      <c r="I1013" s="4">
        <f>PROPER(TRIM(Raw_Data!I1013))</f>
        <v/>
      </c>
      <c r="J1013" s="4">
        <f>TRIM(Raw_Data!J1013)</f>
        <v/>
      </c>
      <c r="K1013" s="4">
        <f>Raw_Data!K1013</f>
        <v/>
      </c>
      <c r="L1013" s="4">
        <f>IF(TRIM(Raw_Data!L1013)="","No Coupon",TRIM(Raw_Data!L1013))</f>
        <v/>
      </c>
      <c r="M1013" s="4">
        <f>PROPER(TRIM(Raw_Data!M1013))</f>
        <v/>
      </c>
      <c r="N1013" s="6">
        <f>ROUND(Raw_Data!N1013,2)</f>
        <v/>
      </c>
      <c r="O1013" s="7">
        <f>IF(COUNTIF($A$2:$A$1201,A1013)&gt;1,"DUPLICATE","Unique")</f>
        <v/>
      </c>
      <c r="P1013" s="7">
        <f>IF(COUNTIF($J$2:$J$1201,J1013)&gt;1,"DUPLICATE","Unique")</f>
        <v/>
      </c>
      <c r="Q1013" s="4">
        <f>IF(TRIM(Raw_Data!L1013)="","Yes","No")</f>
        <v/>
      </c>
      <c r="R1013" s="4">
        <f>IF(ISNUMBER(B1013),"Valid","INVALID")</f>
        <v/>
      </c>
    </row>
    <row r="1014">
      <c r="A1014" s="4">
        <f>TRIM(Raw_Data!A1014)</f>
        <v/>
      </c>
      <c r="B1014" s="5">
        <f>Raw_Data!B1014</f>
        <v/>
      </c>
      <c r="C1014" s="4">
        <f>TRIM(Raw_Data!C1014)</f>
        <v/>
      </c>
      <c r="D1014" s="4">
        <f>PROPER(TRIM(Raw_Data!D1014))</f>
        <v/>
      </c>
      <c r="E1014" s="4">
        <f>Raw_Data!E1014</f>
        <v/>
      </c>
      <c r="F1014" s="6">
        <f>ROUND(Raw_Data!F1014,2)</f>
        <v/>
      </c>
      <c r="G1014" s="4">
        <f>PROPER(TRIM(Raw_Data!G1014))</f>
        <v/>
      </c>
      <c r="H1014" s="4">
        <f>PROPER(TRIM(Raw_Data!H1014))</f>
        <v/>
      </c>
      <c r="I1014" s="4">
        <f>PROPER(TRIM(Raw_Data!I1014))</f>
        <v/>
      </c>
      <c r="J1014" s="4">
        <f>TRIM(Raw_Data!J1014)</f>
        <v/>
      </c>
      <c r="K1014" s="4">
        <f>Raw_Data!K1014</f>
        <v/>
      </c>
      <c r="L1014" s="4">
        <f>IF(TRIM(Raw_Data!L1014)="","No Coupon",TRIM(Raw_Data!L1014))</f>
        <v/>
      </c>
      <c r="M1014" s="4">
        <f>PROPER(TRIM(Raw_Data!M1014))</f>
        <v/>
      </c>
      <c r="N1014" s="6">
        <f>ROUND(Raw_Data!N1014,2)</f>
        <v/>
      </c>
      <c r="O1014" s="7">
        <f>IF(COUNTIF($A$2:$A$1201,A1014)&gt;1,"DUPLICATE","Unique")</f>
        <v/>
      </c>
      <c r="P1014" s="7">
        <f>IF(COUNTIF($J$2:$J$1201,J1014)&gt;1,"DUPLICATE","Unique")</f>
        <v/>
      </c>
      <c r="Q1014" s="4">
        <f>IF(TRIM(Raw_Data!L1014)="","Yes","No")</f>
        <v/>
      </c>
      <c r="R1014" s="4">
        <f>IF(ISNUMBER(B1014),"Valid","INVALID")</f>
        <v/>
      </c>
    </row>
    <row r="1015">
      <c r="A1015" s="4">
        <f>TRIM(Raw_Data!A1015)</f>
        <v/>
      </c>
      <c r="B1015" s="5">
        <f>Raw_Data!B1015</f>
        <v/>
      </c>
      <c r="C1015" s="4">
        <f>TRIM(Raw_Data!C1015)</f>
        <v/>
      </c>
      <c r="D1015" s="4">
        <f>PROPER(TRIM(Raw_Data!D1015))</f>
        <v/>
      </c>
      <c r="E1015" s="4">
        <f>Raw_Data!E1015</f>
        <v/>
      </c>
      <c r="F1015" s="6">
        <f>ROUND(Raw_Data!F1015,2)</f>
        <v/>
      </c>
      <c r="G1015" s="4">
        <f>PROPER(TRIM(Raw_Data!G1015))</f>
        <v/>
      </c>
      <c r="H1015" s="4">
        <f>PROPER(TRIM(Raw_Data!H1015))</f>
        <v/>
      </c>
      <c r="I1015" s="4">
        <f>PROPER(TRIM(Raw_Data!I1015))</f>
        <v/>
      </c>
      <c r="J1015" s="4">
        <f>TRIM(Raw_Data!J1015)</f>
        <v/>
      </c>
      <c r="K1015" s="4">
        <f>Raw_Data!K1015</f>
        <v/>
      </c>
      <c r="L1015" s="4">
        <f>IF(TRIM(Raw_Data!L1015)="","No Coupon",TRIM(Raw_Data!L1015))</f>
        <v/>
      </c>
      <c r="M1015" s="4">
        <f>PROPER(TRIM(Raw_Data!M1015))</f>
        <v/>
      </c>
      <c r="N1015" s="6">
        <f>ROUND(Raw_Data!N1015,2)</f>
        <v/>
      </c>
      <c r="O1015" s="7">
        <f>IF(COUNTIF($A$2:$A$1201,A1015)&gt;1,"DUPLICATE","Unique")</f>
        <v/>
      </c>
      <c r="P1015" s="7">
        <f>IF(COUNTIF($J$2:$J$1201,J1015)&gt;1,"DUPLICATE","Unique")</f>
        <v/>
      </c>
      <c r="Q1015" s="4">
        <f>IF(TRIM(Raw_Data!L1015)="","Yes","No")</f>
        <v/>
      </c>
      <c r="R1015" s="4">
        <f>IF(ISNUMBER(B1015),"Valid","INVALID")</f>
        <v/>
      </c>
    </row>
    <row r="1016">
      <c r="A1016" s="4">
        <f>TRIM(Raw_Data!A1016)</f>
        <v/>
      </c>
      <c r="B1016" s="5">
        <f>Raw_Data!B1016</f>
        <v/>
      </c>
      <c r="C1016" s="4">
        <f>TRIM(Raw_Data!C1016)</f>
        <v/>
      </c>
      <c r="D1016" s="4">
        <f>PROPER(TRIM(Raw_Data!D1016))</f>
        <v/>
      </c>
      <c r="E1016" s="4">
        <f>Raw_Data!E1016</f>
        <v/>
      </c>
      <c r="F1016" s="6">
        <f>ROUND(Raw_Data!F1016,2)</f>
        <v/>
      </c>
      <c r="G1016" s="4">
        <f>PROPER(TRIM(Raw_Data!G1016))</f>
        <v/>
      </c>
      <c r="H1016" s="4">
        <f>PROPER(TRIM(Raw_Data!H1016))</f>
        <v/>
      </c>
      <c r="I1016" s="4">
        <f>PROPER(TRIM(Raw_Data!I1016))</f>
        <v/>
      </c>
      <c r="J1016" s="4">
        <f>TRIM(Raw_Data!J1016)</f>
        <v/>
      </c>
      <c r="K1016" s="4">
        <f>Raw_Data!K1016</f>
        <v/>
      </c>
      <c r="L1016" s="4">
        <f>IF(TRIM(Raw_Data!L1016)="","No Coupon",TRIM(Raw_Data!L1016))</f>
        <v/>
      </c>
      <c r="M1016" s="4">
        <f>PROPER(TRIM(Raw_Data!M1016))</f>
        <v/>
      </c>
      <c r="N1016" s="6">
        <f>ROUND(Raw_Data!N1016,2)</f>
        <v/>
      </c>
      <c r="O1016" s="7">
        <f>IF(COUNTIF($A$2:$A$1201,A1016)&gt;1,"DUPLICATE","Unique")</f>
        <v/>
      </c>
      <c r="P1016" s="7">
        <f>IF(COUNTIF($J$2:$J$1201,J1016)&gt;1,"DUPLICATE","Unique")</f>
        <v/>
      </c>
      <c r="Q1016" s="4">
        <f>IF(TRIM(Raw_Data!L1016)="","Yes","No")</f>
        <v/>
      </c>
      <c r="R1016" s="4">
        <f>IF(ISNUMBER(B1016),"Valid","INVALID")</f>
        <v/>
      </c>
    </row>
    <row r="1017">
      <c r="A1017" s="4">
        <f>TRIM(Raw_Data!A1017)</f>
        <v/>
      </c>
      <c r="B1017" s="5">
        <f>Raw_Data!B1017</f>
        <v/>
      </c>
      <c r="C1017" s="4">
        <f>TRIM(Raw_Data!C1017)</f>
        <v/>
      </c>
      <c r="D1017" s="4">
        <f>PROPER(TRIM(Raw_Data!D1017))</f>
        <v/>
      </c>
      <c r="E1017" s="4">
        <f>Raw_Data!E1017</f>
        <v/>
      </c>
      <c r="F1017" s="6">
        <f>ROUND(Raw_Data!F1017,2)</f>
        <v/>
      </c>
      <c r="G1017" s="4">
        <f>PROPER(TRIM(Raw_Data!G1017))</f>
        <v/>
      </c>
      <c r="H1017" s="4">
        <f>PROPER(TRIM(Raw_Data!H1017))</f>
        <v/>
      </c>
      <c r="I1017" s="4">
        <f>PROPER(TRIM(Raw_Data!I1017))</f>
        <v/>
      </c>
      <c r="J1017" s="4">
        <f>TRIM(Raw_Data!J1017)</f>
        <v/>
      </c>
      <c r="K1017" s="4">
        <f>Raw_Data!K1017</f>
        <v/>
      </c>
      <c r="L1017" s="4">
        <f>IF(TRIM(Raw_Data!L1017)="","No Coupon",TRIM(Raw_Data!L1017))</f>
        <v/>
      </c>
      <c r="M1017" s="4">
        <f>PROPER(TRIM(Raw_Data!M1017))</f>
        <v/>
      </c>
      <c r="N1017" s="6">
        <f>ROUND(Raw_Data!N1017,2)</f>
        <v/>
      </c>
      <c r="O1017" s="7">
        <f>IF(COUNTIF($A$2:$A$1201,A1017)&gt;1,"DUPLICATE","Unique")</f>
        <v/>
      </c>
      <c r="P1017" s="7">
        <f>IF(COUNTIF($J$2:$J$1201,J1017)&gt;1,"DUPLICATE","Unique")</f>
        <v/>
      </c>
      <c r="Q1017" s="4">
        <f>IF(TRIM(Raw_Data!L1017)="","Yes","No")</f>
        <v/>
      </c>
      <c r="R1017" s="4">
        <f>IF(ISNUMBER(B1017),"Valid","INVALID")</f>
        <v/>
      </c>
    </row>
    <row r="1018">
      <c r="A1018" s="4">
        <f>TRIM(Raw_Data!A1018)</f>
        <v/>
      </c>
      <c r="B1018" s="5">
        <f>Raw_Data!B1018</f>
        <v/>
      </c>
      <c r="C1018" s="4">
        <f>TRIM(Raw_Data!C1018)</f>
        <v/>
      </c>
      <c r="D1018" s="4">
        <f>PROPER(TRIM(Raw_Data!D1018))</f>
        <v/>
      </c>
      <c r="E1018" s="4">
        <f>Raw_Data!E1018</f>
        <v/>
      </c>
      <c r="F1018" s="6">
        <f>ROUND(Raw_Data!F1018,2)</f>
        <v/>
      </c>
      <c r="G1018" s="4">
        <f>PROPER(TRIM(Raw_Data!G1018))</f>
        <v/>
      </c>
      <c r="H1018" s="4">
        <f>PROPER(TRIM(Raw_Data!H1018))</f>
        <v/>
      </c>
      <c r="I1018" s="4">
        <f>PROPER(TRIM(Raw_Data!I1018))</f>
        <v/>
      </c>
      <c r="J1018" s="4">
        <f>TRIM(Raw_Data!J1018)</f>
        <v/>
      </c>
      <c r="K1018" s="4">
        <f>Raw_Data!K1018</f>
        <v/>
      </c>
      <c r="L1018" s="4">
        <f>IF(TRIM(Raw_Data!L1018)="","No Coupon",TRIM(Raw_Data!L1018))</f>
        <v/>
      </c>
      <c r="M1018" s="4">
        <f>PROPER(TRIM(Raw_Data!M1018))</f>
        <v/>
      </c>
      <c r="N1018" s="6">
        <f>ROUND(Raw_Data!N1018,2)</f>
        <v/>
      </c>
      <c r="O1018" s="7">
        <f>IF(COUNTIF($A$2:$A$1201,A1018)&gt;1,"DUPLICATE","Unique")</f>
        <v/>
      </c>
      <c r="P1018" s="7">
        <f>IF(COUNTIF($J$2:$J$1201,J1018)&gt;1,"DUPLICATE","Unique")</f>
        <v/>
      </c>
      <c r="Q1018" s="4">
        <f>IF(TRIM(Raw_Data!L1018)="","Yes","No")</f>
        <v/>
      </c>
      <c r="R1018" s="4">
        <f>IF(ISNUMBER(B1018),"Valid","INVALID")</f>
        <v/>
      </c>
    </row>
    <row r="1019">
      <c r="A1019" s="4">
        <f>TRIM(Raw_Data!A1019)</f>
        <v/>
      </c>
      <c r="B1019" s="5">
        <f>Raw_Data!B1019</f>
        <v/>
      </c>
      <c r="C1019" s="4">
        <f>TRIM(Raw_Data!C1019)</f>
        <v/>
      </c>
      <c r="D1019" s="4">
        <f>PROPER(TRIM(Raw_Data!D1019))</f>
        <v/>
      </c>
      <c r="E1019" s="4">
        <f>Raw_Data!E1019</f>
        <v/>
      </c>
      <c r="F1019" s="6">
        <f>ROUND(Raw_Data!F1019,2)</f>
        <v/>
      </c>
      <c r="G1019" s="4">
        <f>PROPER(TRIM(Raw_Data!G1019))</f>
        <v/>
      </c>
      <c r="H1019" s="4">
        <f>PROPER(TRIM(Raw_Data!H1019))</f>
        <v/>
      </c>
      <c r="I1019" s="4">
        <f>PROPER(TRIM(Raw_Data!I1019))</f>
        <v/>
      </c>
      <c r="J1019" s="4">
        <f>TRIM(Raw_Data!J1019)</f>
        <v/>
      </c>
      <c r="K1019" s="4">
        <f>Raw_Data!K1019</f>
        <v/>
      </c>
      <c r="L1019" s="4">
        <f>IF(TRIM(Raw_Data!L1019)="","No Coupon",TRIM(Raw_Data!L1019))</f>
        <v/>
      </c>
      <c r="M1019" s="4">
        <f>PROPER(TRIM(Raw_Data!M1019))</f>
        <v/>
      </c>
      <c r="N1019" s="6">
        <f>ROUND(Raw_Data!N1019,2)</f>
        <v/>
      </c>
      <c r="O1019" s="7">
        <f>IF(COUNTIF($A$2:$A$1201,A1019)&gt;1,"DUPLICATE","Unique")</f>
        <v/>
      </c>
      <c r="P1019" s="7">
        <f>IF(COUNTIF($J$2:$J$1201,J1019)&gt;1,"DUPLICATE","Unique")</f>
        <v/>
      </c>
      <c r="Q1019" s="4">
        <f>IF(TRIM(Raw_Data!L1019)="","Yes","No")</f>
        <v/>
      </c>
      <c r="R1019" s="4">
        <f>IF(ISNUMBER(B1019),"Valid","INVALID")</f>
        <v/>
      </c>
    </row>
    <row r="1020">
      <c r="A1020" s="4">
        <f>TRIM(Raw_Data!A1020)</f>
        <v/>
      </c>
      <c r="B1020" s="5">
        <f>Raw_Data!B1020</f>
        <v/>
      </c>
      <c r="C1020" s="4">
        <f>TRIM(Raw_Data!C1020)</f>
        <v/>
      </c>
      <c r="D1020" s="4">
        <f>PROPER(TRIM(Raw_Data!D1020))</f>
        <v/>
      </c>
      <c r="E1020" s="4">
        <f>Raw_Data!E1020</f>
        <v/>
      </c>
      <c r="F1020" s="6">
        <f>ROUND(Raw_Data!F1020,2)</f>
        <v/>
      </c>
      <c r="G1020" s="4">
        <f>PROPER(TRIM(Raw_Data!G1020))</f>
        <v/>
      </c>
      <c r="H1020" s="4">
        <f>PROPER(TRIM(Raw_Data!H1020))</f>
        <v/>
      </c>
      <c r="I1020" s="4">
        <f>PROPER(TRIM(Raw_Data!I1020))</f>
        <v/>
      </c>
      <c r="J1020" s="4">
        <f>TRIM(Raw_Data!J1020)</f>
        <v/>
      </c>
      <c r="K1020" s="4">
        <f>Raw_Data!K1020</f>
        <v/>
      </c>
      <c r="L1020" s="4">
        <f>IF(TRIM(Raw_Data!L1020)="","No Coupon",TRIM(Raw_Data!L1020))</f>
        <v/>
      </c>
      <c r="M1020" s="4">
        <f>PROPER(TRIM(Raw_Data!M1020))</f>
        <v/>
      </c>
      <c r="N1020" s="6">
        <f>ROUND(Raw_Data!N1020,2)</f>
        <v/>
      </c>
      <c r="O1020" s="7">
        <f>IF(COUNTIF($A$2:$A$1201,A1020)&gt;1,"DUPLICATE","Unique")</f>
        <v/>
      </c>
      <c r="P1020" s="7">
        <f>IF(COUNTIF($J$2:$J$1201,J1020)&gt;1,"DUPLICATE","Unique")</f>
        <v/>
      </c>
      <c r="Q1020" s="4">
        <f>IF(TRIM(Raw_Data!L1020)="","Yes","No")</f>
        <v/>
      </c>
      <c r="R1020" s="4">
        <f>IF(ISNUMBER(B1020),"Valid","INVALID")</f>
        <v/>
      </c>
    </row>
    <row r="1021">
      <c r="A1021" s="4">
        <f>TRIM(Raw_Data!A1021)</f>
        <v/>
      </c>
      <c r="B1021" s="5">
        <f>Raw_Data!B1021</f>
        <v/>
      </c>
      <c r="C1021" s="4">
        <f>TRIM(Raw_Data!C1021)</f>
        <v/>
      </c>
      <c r="D1021" s="4">
        <f>PROPER(TRIM(Raw_Data!D1021))</f>
        <v/>
      </c>
      <c r="E1021" s="4">
        <f>Raw_Data!E1021</f>
        <v/>
      </c>
      <c r="F1021" s="6">
        <f>ROUND(Raw_Data!F1021,2)</f>
        <v/>
      </c>
      <c r="G1021" s="4">
        <f>PROPER(TRIM(Raw_Data!G1021))</f>
        <v/>
      </c>
      <c r="H1021" s="4">
        <f>PROPER(TRIM(Raw_Data!H1021))</f>
        <v/>
      </c>
      <c r="I1021" s="4">
        <f>PROPER(TRIM(Raw_Data!I1021))</f>
        <v/>
      </c>
      <c r="J1021" s="4">
        <f>TRIM(Raw_Data!J1021)</f>
        <v/>
      </c>
      <c r="K1021" s="4">
        <f>Raw_Data!K1021</f>
        <v/>
      </c>
      <c r="L1021" s="4">
        <f>IF(TRIM(Raw_Data!L1021)="","No Coupon",TRIM(Raw_Data!L1021))</f>
        <v/>
      </c>
      <c r="M1021" s="4">
        <f>PROPER(TRIM(Raw_Data!M1021))</f>
        <v/>
      </c>
      <c r="N1021" s="6">
        <f>ROUND(Raw_Data!N1021,2)</f>
        <v/>
      </c>
      <c r="O1021" s="7">
        <f>IF(COUNTIF($A$2:$A$1201,A1021)&gt;1,"DUPLICATE","Unique")</f>
        <v/>
      </c>
      <c r="P1021" s="7">
        <f>IF(COUNTIF($J$2:$J$1201,J1021)&gt;1,"DUPLICATE","Unique")</f>
        <v/>
      </c>
      <c r="Q1021" s="4">
        <f>IF(TRIM(Raw_Data!L1021)="","Yes","No")</f>
        <v/>
      </c>
      <c r="R1021" s="4">
        <f>IF(ISNUMBER(B1021),"Valid","INVALID")</f>
        <v/>
      </c>
    </row>
    <row r="1022">
      <c r="A1022" s="4">
        <f>TRIM(Raw_Data!A1022)</f>
        <v/>
      </c>
      <c r="B1022" s="5">
        <f>Raw_Data!B1022</f>
        <v/>
      </c>
      <c r="C1022" s="4">
        <f>TRIM(Raw_Data!C1022)</f>
        <v/>
      </c>
      <c r="D1022" s="4">
        <f>PROPER(TRIM(Raw_Data!D1022))</f>
        <v/>
      </c>
      <c r="E1022" s="4">
        <f>Raw_Data!E1022</f>
        <v/>
      </c>
      <c r="F1022" s="6">
        <f>ROUND(Raw_Data!F1022,2)</f>
        <v/>
      </c>
      <c r="G1022" s="4">
        <f>PROPER(TRIM(Raw_Data!G1022))</f>
        <v/>
      </c>
      <c r="H1022" s="4">
        <f>PROPER(TRIM(Raw_Data!H1022))</f>
        <v/>
      </c>
      <c r="I1022" s="4">
        <f>PROPER(TRIM(Raw_Data!I1022))</f>
        <v/>
      </c>
      <c r="J1022" s="4">
        <f>TRIM(Raw_Data!J1022)</f>
        <v/>
      </c>
      <c r="K1022" s="4">
        <f>Raw_Data!K1022</f>
        <v/>
      </c>
      <c r="L1022" s="4">
        <f>IF(TRIM(Raw_Data!L1022)="","No Coupon",TRIM(Raw_Data!L1022))</f>
        <v/>
      </c>
      <c r="M1022" s="4">
        <f>PROPER(TRIM(Raw_Data!M1022))</f>
        <v/>
      </c>
      <c r="N1022" s="6">
        <f>ROUND(Raw_Data!N1022,2)</f>
        <v/>
      </c>
      <c r="O1022" s="7">
        <f>IF(COUNTIF($A$2:$A$1201,A1022)&gt;1,"DUPLICATE","Unique")</f>
        <v/>
      </c>
      <c r="P1022" s="7">
        <f>IF(COUNTIF($J$2:$J$1201,J1022)&gt;1,"DUPLICATE","Unique")</f>
        <v/>
      </c>
      <c r="Q1022" s="4">
        <f>IF(TRIM(Raw_Data!L1022)="","Yes","No")</f>
        <v/>
      </c>
      <c r="R1022" s="4">
        <f>IF(ISNUMBER(B1022),"Valid","INVALID")</f>
        <v/>
      </c>
    </row>
    <row r="1023">
      <c r="A1023" s="4">
        <f>TRIM(Raw_Data!A1023)</f>
        <v/>
      </c>
      <c r="B1023" s="5">
        <f>Raw_Data!B1023</f>
        <v/>
      </c>
      <c r="C1023" s="4">
        <f>TRIM(Raw_Data!C1023)</f>
        <v/>
      </c>
      <c r="D1023" s="4">
        <f>PROPER(TRIM(Raw_Data!D1023))</f>
        <v/>
      </c>
      <c r="E1023" s="4">
        <f>Raw_Data!E1023</f>
        <v/>
      </c>
      <c r="F1023" s="6">
        <f>ROUND(Raw_Data!F1023,2)</f>
        <v/>
      </c>
      <c r="G1023" s="4">
        <f>PROPER(TRIM(Raw_Data!G1023))</f>
        <v/>
      </c>
      <c r="H1023" s="4">
        <f>PROPER(TRIM(Raw_Data!H1023))</f>
        <v/>
      </c>
      <c r="I1023" s="4">
        <f>PROPER(TRIM(Raw_Data!I1023))</f>
        <v/>
      </c>
      <c r="J1023" s="4">
        <f>TRIM(Raw_Data!J1023)</f>
        <v/>
      </c>
      <c r="K1023" s="4">
        <f>Raw_Data!K1023</f>
        <v/>
      </c>
      <c r="L1023" s="4">
        <f>IF(TRIM(Raw_Data!L1023)="","No Coupon",TRIM(Raw_Data!L1023))</f>
        <v/>
      </c>
      <c r="M1023" s="4">
        <f>PROPER(TRIM(Raw_Data!M1023))</f>
        <v/>
      </c>
      <c r="N1023" s="6">
        <f>ROUND(Raw_Data!N1023,2)</f>
        <v/>
      </c>
      <c r="O1023" s="7">
        <f>IF(COUNTIF($A$2:$A$1201,A1023)&gt;1,"DUPLICATE","Unique")</f>
        <v/>
      </c>
      <c r="P1023" s="7">
        <f>IF(COUNTIF($J$2:$J$1201,J1023)&gt;1,"DUPLICATE","Unique")</f>
        <v/>
      </c>
      <c r="Q1023" s="4">
        <f>IF(TRIM(Raw_Data!L1023)="","Yes","No")</f>
        <v/>
      </c>
      <c r="R1023" s="4">
        <f>IF(ISNUMBER(B1023),"Valid","INVALID")</f>
        <v/>
      </c>
    </row>
    <row r="1024">
      <c r="A1024" s="4">
        <f>TRIM(Raw_Data!A1024)</f>
        <v/>
      </c>
      <c r="B1024" s="5">
        <f>Raw_Data!B1024</f>
        <v/>
      </c>
      <c r="C1024" s="4">
        <f>TRIM(Raw_Data!C1024)</f>
        <v/>
      </c>
      <c r="D1024" s="4">
        <f>PROPER(TRIM(Raw_Data!D1024))</f>
        <v/>
      </c>
      <c r="E1024" s="4">
        <f>Raw_Data!E1024</f>
        <v/>
      </c>
      <c r="F1024" s="6">
        <f>ROUND(Raw_Data!F1024,2)</f>
        <v/>
      </c>
      <c r="G1024" s="4">
        <f>PROPER(TRIM(Raw_Data!G1024))</f>
        <v/>
      </c>
      <c r="H1024" s="4">
        <f>PROPER(TRIM(Raw_Data!H1024))</f>
        <v/>
      </c>
      <c r="I1024" s="4">
        <f>PROPER(TRIM(Raw_Data!I1024))</f>
        <v/>
      </c>
      <c r="J1024" s="4">
        <f>TRIM(Raw_Data!J1024)</f>
        <v/>
      </c>
      <c r="K1024" s="4">
        <f>Raw_Data!K1024</f>
        <v/>
      </c>
      <c r="L1024" s="4">
        <f>IF(TRIM(Raw_Data!L1024)="","No Coupon",TRIM(Raw_Data!L1024))</f>
        <v/>
      </c>
      <c r="M1024" s="4">
        <f>PROPER(TRIM(Raw_Data!M1024))</f>
        <v/>
      </c>
      <c r="N1024" s="6">
        <f>ROUND(Raw_Data!N1024,2)</f>
        <v/>
      </c>
      <c r="O1024" s="7">
        <f>IF(COUNTIF($A$2:$A$1201,A1024)&gt;1,"DUPLICATE","Unique")</f>
        <v/>
      </c>
      <c r="P1024" s="7">
        <f>IF(COUNTIF($J$2:$J$1201,J1024)&gt;1,"DUPLICATE","Unique")</f>
        <v/>
      </c>
      <c r="Q1024" s="4">
        <f>IF(TRIM(Raw_Data!L1024)="","Yes","No")</f>
        <v/>
      </c>
      <c r="R1024" s="4">
        <f>IF(ISNUMBER(B1024),"Valid","INVALID")</f>
        <v/>
      </c>
    </row>
    <row r="1025">
      <c r="A1025" s="4">
        <f>TRIM(Raw_Data!A1025)</f>
        <v/>
      </c>
      <c r="B1025" s="5">
        <f>Raw_Data!B1025</f>
        <v/>
      </c>
      <c r="C1025" s="4">
        <f>TRIM(Raw_Data!C1025)</f>
        <v/>
      </c>
      <c r="D1025" s="4">
        <f>PROPER(TRIM(Raw_Data!D1025))</f>
        <v/>
      </c>
      <c r="E1025" s="4">
        <f>Raw_Data!E1025</f>
        <v/>
      </c>
      <c r="F1025" s="6">
        <f>ROUND(Raw_Data!F1025,2)</f>
        <v/>
      </c>
      <c r="G1025" s="4">
        <f>PROPER(TRIM(Raw_Data!G1025))</f>
        <v/>
      </c>
      <c r="H1025" s="4">
        <f>PROPER(TRIM(Raw_Data!H1025))</f>
        <v/>
      </c>
      <c r="I1025" s="4">
        <f>PROPER(TRIM(Raw_Data!I1025))</f>
        <v/>
      </c>
      <c r="J1025" s="4">
        <f>TRIM(Raw_Data!J1025)</f>
        <v/>
      </c>
      <c r="K1025" s="4">
        <f>Raw_Data!K1025</f>
        <v/>
      </c>
      <c r="L1025" s="4">
        <f>IF(TRIM(Raw_Data!L1025)="","No Coupon",TRIM(Raw_Data!L1025))</f>
        <v/>
      </c>
      <c r="M1025" s="4">
        <f>PROPER(TRIM(Raw_Data!M1025))</f>
        <v/>
      </c>
      <c r="N1025" s="6">
        <f>ROUND(Raw_Data!N1025,2)</f>
        <v/>
      </c>
      <c r="O1025" s="7">
        <f>IF(COUNTIF($A$2:$A$1201,A1025)&gt;1,"DUPLICATE","Unique")</f>
        <v/>
      </c>
      <c r="P1025" s="7">
        <f>IF(COUNTIF($J$2:$J$1201,J1025)&gt;1,"DUPLICATE","Unique")</f>
        <v/>
      </c>
      <c r="Q1025" s="4">
        <f>IF(TRIM(Raw_Data!L1025)="","Yes","No")</f>
        <v/>
      </c>
      <c r="R1025" s="4">
        <f>IF(ISNUMBER(B1025),"Valid","INVALID")</f>
        <v/>
      </c>
    </row>
    <row r="1026">
      <c r="A1026" s="4">
        <f>TRIM(Raw_Data!A1026)</f>
        <v/>
      </c>
      <c r="B1026" s="5">
        <f>Raw_Data!B1026</f>
        <v/>
      </c>
      <c r="C1026" s="4">
        <f>TRIM(Raw_Data!C1026)</f>
        <v/>
      </c>
      <c r="D1026" s="4">
        <f>PROPER(TRIM(Raw_Data!D1026))</f>
        <v/>
      </c>
      <c r="E1026" s="4">
        <f>Raw_Data!E1026</f>
        <v/>
      </c>
      <c r="F1026" s="6">
        <f>ROUND(Raw_Data!F1026,2)</f>
        <v/>
      </c>
      <c r="G1026" s="4">
        <f>PROPER(TRIM(Raw_Data!G1026))</f>
        <v/>
      </c>
      <c r="H1026" s="4">
        <f>PROPER(TRIM(Raw_Data!H1026))</f>
        <v/>
      </c>
      <c r="I1026" s="4">
        <f>PROPER(TRIM(Raw_Data!I1026))</f>
        <v/>
      </c>
      <c r="J1026" s="4">
        <f>TRIM(Raw_Data!J1026)</f>
        <v/>
      </c>
      <c r="K1026" s="4">
        <f>Raw_Data!K1026</f>
        <v/>
      </c>
      <c r="L1026" s="4">
        <f>IF(TRIM(Raw_Data!L1026)="","No Coupon",TRIM(Raw_Data!L1026))</f>
        <v/>
      </c>
      <c r="M1026" s="4">
        <f>PROPER(TRIM(Raw_Data!M1026))</f>
        <v/>
      </c>
      <c r="N1026" s="6">
        <f>ROUND(Raw_Data!N1026,2)</f>
        <v/>
      </c>
      <c r="O1026" s="7">
        <f>IF(COUNTIF($A$2:$A$1201,A1026)&gt;1,"DUPLICATE","Unique")</f>
        <v/>
      </c>
      <c r="P1026" s="7">
        <f>IF(COUNTIF($J$2:$J$1201,J1026)&gt;1,"DUPLICATE","Unique")</f>
        <v/>
      </c>
      <c r="Q1026" s="4">
        <f>IF(TRIM(Raw_Data!L1026)="","Yes","No")</f>
        <v/>
      </c>
      <c r="R1026" s="4">
        <f>IF(ISNUMBER(B1026),"Valid","INVALID")</f>
        <v/>
      </c>
    </row>
    <row r="1027">
      <c r="A1027" s="4">
        <f>TRIM(Raw_Data!A1027)</f>
        <v/>
      </c>
      <c r="B1027" s="5">
        <f>Raw_Data!B1027</f>
        <v/>
      </c>
      <c r="C1027" s="4">
        <f>TRIM(Raw_Data!C1027)</f>
        <v/>
      </c>
      <c r="D1027" s="4">
        <f>PROPER(TRIM(Raw_Data!D1027))</f>
        <v/>
      </c>
      <c r="E1027" s="4">
        <f>Raw_Data!E1027</f>
        <v/>
      </c>
      <c r="F1027" s="6">
        <f>ROUND(Raw_Data!F1027,2)</f>
        <v/>
      </c>
      <c r="G1027" s="4">
        <f>PROPER(TRIM(Raw_Data!G1027))</f>
        <v/>
      </c>
      <c r="H1027" s="4">
        <f>PROPER(TRIM(Raw_Data!H1027))</f>
        <v/>
      </c>
      <c r="I1027" s="4">
        <f>PROPER(TRIM(Raw_Data!I1027))</f>
        <v/>
      </c>
      <c r="J1027" s="4">
        <f>TRIM(Raw_Data!J1027)</f>
        <v/>
      </c>
      <c r="K1027" s="4">
        <f>Raw_Data!K1027</f>
        <v/>
      </c>
      <c r="L1027" s="4">
        <f>IF(TRIM(Raw_Data!L1027)="","No Coupon",TRIM(Raw_Data!L1027))</f>
        <v/>
      </c>
      <c r="M1027" s="4">
        <f>PROPER(TRIM(Raw_Data!M1027))</f>
        <v/>
      </c>
      <c r="N1027" s="6">
        <f>ROUND(Raw_Data!N1027,2)</f>
        <v/>
      </c>
      <c r="O1027" s="7">
        <f>IF(COUNTIF($A$2:$A$1201,A1027)&gt;1,"DUPLICATE","Unique")</f>
        <v/>
      </c>
      <c r="P1027" s="7">
        <f>IF(COUNTIF($J$2:$J$1201,J1027)&gt;1,"DUPLICATE","Unique")</f>
        <v/>
      </c>
      <c r="Q1027" s="4">
        <f>IF(TRIM(Raw_Data!L1027)="","Yes","No")</f>
        <v/>
      </c>
      <c r="R1027" s="4">
        <f>IF(ISNUMBER(B1027),"Valid","INVALID")</f>
        <v/>
      </c>
    </row>
    <row r="1028">
      <c r="A1028" s="4">
        <f>TRIM(Raw_Data!A1028)</f>
        <v/>
      </c>
      <c r="B1028" s="5">
        <f>Raw_Data!B1028</f>
        <v/>
      </c>
      <c r="C1028" s="4">
        <f>TRIM(Raw_Data!C1028)</f>
        <v/>
      </c>
      <c r="D1028" s="4">
        <f>PROPER(TRIM(Raw_Data!D1028))</f>
        <v/>
      </c>
      <c r="E1028" s="4">
        <f>Raw_Data!E1028</f>
        <v/>
      </c>
      <c r="F1028" s="6">
        <f>ROUND(Raw_Data!F1028,2)</f>
        <v/>
      </c>
      <c r="G1028" s="4">
        <f>PROPER(TRIM(Raw_Data!G1028))</f>
        <v/>
      </c>
      <c r="H1028" s="4">
        <f>PROPER(TRIM(Raw_Data!H1028))</f>
        <v/>
      </c>
      <c r="I1028" s="4">
        <f>PROPER(TRIM(Raw_Data!I1028))</f>
        <v/>
      </c>
      <c r="J1028" s="4">
        <f>TRIM(Raw_Data!J1028)</f>
        <v/>
      </c>
      <c r="K1028" s="4">
        <f>Raw_Data!K1028</f>
        <v/>
      </c>
      <c r="L1028" s="4">
        <f>IF(TRIM(Raw_Data!L1028)="","No Coupon",TRIM(Raw_Data!L1028))</f>
        <v/>
      </c>
      <c r="M1028" s="4">
        <f>PROPER(TRIM(Raw_Data!M1028))</f>
        <v/>
      </c>
      <c r="N1028" s="6">
        <f>ROUND(Raw_Data!N1028,2)</f>
        <v/>
      </c>
      <c r="O1028" s="7">
        <f>IF(COUNTIF($A$2:$A$1201,A1028)&gt;1,"DUPLICATE","Unique")</f>
        <v/>
      </c>
      <c r="P1028" s="7">
        <f>IF(COUNTIF($J$2:$J$1201,J1028)&gt;1,"DUPLICATE","Unique")</f>
        <v/>
      </c>
      <c r="Q1028" s="4">
        <f>IF(TRIM(Raw_Data!L1028)="","Yes","No")</f>
        <v/>
      </c>
      <c r="R1028" s="4">
        <f>IF(ISNUMBER(B1028),"Valid","INVALID")</f>
        <v/>
      </c>
    </row>
    <row r="1029">
      <c r="A1029" s="4">
        <f>TRIM(Raw_Data!A1029)</f>
        <v/>
      </c>
      <c r="B1029" s="5">
        <f>Raw_Data!B1029</f>
        <v/>
      </c>
      <c r="C1029" s="4">
        <f>TRIM(Raw_Data!C1029)</f>
        <v/>
      </c>
      <c r="D1029" s="4">
        <f>PROPER(TRIM(Raw_Data!D1029))</f>
        <v/>
      </c>
      <c r="E1029" s="4">
        <f>Raw_Data!E1029</f>
        <v/>
      </c>
      <c r="F1029" s="6">
        <f>ROUND(Raw_Data!F1029,2)</f>
        <v/>
      </c>
      <c r="G1029" s="4">
        <f>PROPER(TRIM(Raw_Data!G1029))</f>
        <v/>
      </c>
      <c r="H1029" s="4">
        <f>PROPER(TRIM(Raw_Data!H1029))</f>
        <v/>
      </c>
      <c r="I1029" s="4">
        <f>PROPER(TRIM(Raw_Data!I1029))</f>
        <v/>
      </c>
      <c r="J1029" s="4">
        <f>TRIM(Raw_Data!J1029)</f>
        <v/>
      </c>
      <c r="K1029" s="4">
        <f>Raw_Data!K1029</f>
        <v/>
      </c>
      <c r="L1029" s="4">
        <f>IF(TRIM(Raw_Data!L1029)="","No Coupon",TRIM(Raw_Data!L1029))</f>
        <v/>
      </c>
      <c r="M1029" s="4">
        <f>PROPER(TRIM(Raw_Data!M1029))</f>
        <v/>
      </c>
      <c r="N1029" s="6">
        <f>ROUND(Raw_Data!N1029,2)</f>
        <v/>
      </c>
      <c r="O1029" s="7">
        <f>IF(COUNTIF($A$2:$A$1201,A1029)&gt;1,"DUPLICATE","Unique")</f>
        <v/>
      </c>
      <c r="P1029" s="7">
        <f>IF(COUNTIF($J$2:$J$1201,J1029)&gt;1,"DUPLICATE","Unique")</f>
        <v/>
      </c>
      <c r="Q1029" s="4">
        <f>IF(TRIM(Raw_Data!L1029)="","Yes","No")</f>
        <v/>
      </c>
      <c r="R1029" s="4">
        <f>IF(ISNUMBER(B1029),"Valid","INVALID")</f>
        <v/>
      </c>
    </row>
    <row r="1030">
      <c r="A1030" s="4">
        <f>TRIM(Raw_Data!A1030)</f>
        <v/>
      </c>
      <c r="B1030" s="5">
        <f>Raw_Data!B1030</f>
        <v/>
      </c>
      <c r="C1030" s="4">
        <f>TRIM(Raw_Data!C1030)</f>
        <v/>
      </c>
      <c r="D1030" s="4">
        <f>PROPER(TRIM(Raw_Data!D1030))</f>
        <v/>
      </c>
      <c r="E1030" s="4">
        <f>Raw_Data!E1030</f>
        <v/>
      </c>
      <c r="F1030" s="6">
        <f>ROUND(Raw_Data!F1030,2)</f>
        <v/>
      </c>
      <c r="G1030" s="4">
        <f>PROPER(TRIM(Raw_Data!G1030))</f>
        <v/>
      </c>
      <c r="H1030" s="4">
        <f>PROPER(TRIM(Raw_Data!H1030))</f>
        <v/>
      </c>
      <c r="I1030" s="4">
        <f>PROPER(TRIM(Raw_Data!I1030))</f>
        <v/>
      </c>
      <c r="J1030" s="4">
        <f>TRIM(Raw_Data!J1030)</f>
        <v/>
      </c>
      <c r="K1030" s="4">
        <f>Raw_Data!K1030</f>
        <v/>
      </c>
      <c r="L1030" s="4">
        <f>IF(TRIM(Raw_Data!L1030)="","No Coupon",TRIM(Raw_Data!L1030))</f>
        <v/>
      </c>
      <c r="M1030" s="4">
        <f>PROPER(TRIM(Raw_Data!M1030))</f>
        <v/>
      </c>
      <c r="N1030" s="6">
        <f>ROUND(Raw_Data!N1030,2)</f>
        <v/>
      </c>
      <c r="O1030" s="7">
        <f>IF(COUNTIF($A$2:$A$1201,A1030)&gt;1,"DUPLICATE","Unique")</f>
        <v/>
      </c>
      <c r="P1030" s="7">
        <f>IF(COUNTIF($J$2:$J$1201,J1030)&gt;1,"DUPLICATE","Unique")</f>
        <v/>
      </c>
      <c r="Q1030" s="4">
        <f>IF(TRIM(Raw_Data!L1030)="","Yes","No")</f>
        <v/>
      </c>
      <c r="R1030" s="4">
        <f>IF(ISNUMBER(B1030),"Valid","INVALID")</f>
        <v/>
      </c>
    </row>
    <row r="1031">
      <c r="A1031" s="4">
        <f>TRIM(Raw_Data!A1031)</f>
        <v/>
      </c>
      <c r="B1031" s="5">
        <f>Raw_Data!B1031</f>
        <v/>
      </c>
      <c r="C1031" s="4">
        <f>TRIM(Raw_Data!C1031)</f>
        <v/>
      </c>
      <c r="D1031" s="4">
        <f>PROPER(TRIM(Raw_Data!D1031))</f>
        <v/>
      </c>
      <c r="E1031" s="4">
        <f>Raw_Data!E1031</f>
        <v/>
      </c>
      <c r="F1031" s="6">
        <f>ROUND(Raw_Data!F1031,2)</f>
        <v/>
      </c>
      <c r="G1031" s="4">
        <f>PROPER(TRIM(Raw_Data!G1031))</f>
        <v/>
      </c>
      <c r="H1031" s="4">
        <f>PROPER(TRIM(Raw_Data!H1031))</f>
        <v/>
      </c>
      <c r="I1031" s="4">
        <f>PROPER(TRIM(Raw_Data!I1031))</f>
        <v/>
      </c>
      <c r="J1031" s="4">
        <f>TRIM(Raw_Data!J1031)</f>
        <v/>
      </c>
      <c r="K1031" s="4">
        <f>Raw_Data!K1031</f>
        <v/>
      </c>
      <c r="L1031" s="4">
        <f>IF(TRIM(Raw_Data!L1031)="","No Coupon",TRIM(Raw_Data!L1031))</f>
        <v/>
      </c>
      <c r="M1031" s="4">
        <f>PROPER(TRIM(Raw_Data!M1031))</f>
        <v/>
      </c>
      <c r="N1031" s="6">
        <f>ROUND(Raw_Data!N1031,2)</f>
        <v/>
      </c>
      <c r="O1031" s="7">
        <f>IF(COUNTIF($A$2:$A$1201,A1031)&gt;1,"DUPLICATE","Unique")</f>
        <v/>
      </c>
      <c r="P1031" s="7">
        <f>IF(COUNTIF($J$2:$J$1201,J1031)&gt;1,"DUPLICATE","Unique")</f>
        <v/>
      </c>
      <c r="Q1031" s="4">
        <f>IF(TRIM(Raw_Data!L1031)="","Yes","No")</f>
        <v/>
      </c>
      <c r="R1031" s="4">
        <f>IF(ISNUMBER(B1031),"Valid","INVALID")</f>
        <v/>
      </c>
    </row>
    <row r="1032">
      <c r="A1032" s="4">
        <f>TRIM(Raw_Data!A1032)</f>
        <v/>
      </c>
      <c r="B1032" s="5">
        <f>Raw_Data!B1032</f>
        <v/>
      </c>
      <c r="C1032" s="4">
        <f>TRIM(Raw_Data!C1032)</f>
        <v/>
      </c>
      <c r="D1032" s="4">
        <f>PROPER(TRIM(Raw_Data!D1032))</f>
        <v/>
      </c>
      <c r="E1032" s="4">
        <f>Raw_Data!E1032</f>
        <v/>
      </c>
      <c r="F1032" s="6">
        <f>ROUND(Raw_Data!F1032,2)</f>
        <v/>
      </c>
      <c r="G1032" s="4">
        <f>PROPER(TRIM(Raw_Data!G1032))</f>
        <v/>
      </c>
      <c r="H1032" s="4">
        <f>PROPER(TRIM(Raw_Data!H1032))</f>
        <v/>
      </c>
      <c r="I1032" s="4">
        <f>PROPER(TRIM(Raw_Data!I1032))</f>
        <v/>
      </c>
      <c r="J1032" s="4">
        <f>TRIM(Raw_Data!J1032)</f>
        <v/>
      </c>
      <c r="K1032" s="4">
        <f>Raw_Data!K1032</f>
        <v/>
      </c>
      <c r="L1032" s="4">
        <f>IF(TRIM(Raw_Data!L1032)="","No Coupon",TRIM(Raw_Data!L1032))</f>
        <v/>
      </c>
      <c r="M1032" s="4">
        <f>PROPER(TRIM(Raw_Data!M1032))</f>
        <v/>
      </c>
      <c r="N1032" s="6">
        <f>ROUND(Raw_Data!N1032,2)</f>
        <v/>
      </c>
      <c r="O1032" s="7">
        <f>IF(COUNTIF($A$2:$A$1201,A1032)&gt;1,"DUPLICATE","Unique")</f>
        <v/>
      </c>
      <c r="P1032" s="7">
        <f>IF(COUNTIF($J$2:$J$1201,J1032)&gt;1,"DUPLICATE","Unique")</f>
        <v/>
      </c>
      <c r="Q1032" s="4">
        <f>IF(TRIM(Raw_Data!L1032)="","Yes","No")</f>
        <v/>
      </c>
      <c r="R1032" s="4">
        <f>IF(ISNUMBER(B1032),"Valid","INVALID")</f>
        <v/>
      </c>
    </row>
    <row r="1033">
      <c r="A1033" s="4">
        <f>TRIM(Raw_Data!A1033)</f>
        <v/>
      </c>
      <c r="B1033" s="5">
        <f>Raw_Data!B1033</f>
        <v/>
      </c>
      <c r="C1033" s="4">
        <f>TRIM(Raw_Data!C1033)</f>
        <v/>
      </c>
      <c r="D1033" s="4">
        <f>PROPER(TRIM(Raw_Data!D1033))</f>
        <v/>
      </c>
      <c r="E1033" s="4">
        <f>Raw_Data!E1033</f>
        <v/>
      </c>
      <c r="F1033" s="6">
        <f>ROUND(Raw_Data!F1033,2)</f>
        <v/>
      </c>
      <c r="G1033" s="4">
        <f>PROPER(TRIM(Raw_Data!G1033))</f>
        <v/>
      </c>
      <c r="H1033" s="4">
        <f>PROPER(TRIM(Raw_Data!H1033))</f>
        <v/>
      </c>
      <c r="I1033" s="4">
        <f>PROPER(TRIM(Raw_Data!I1033))</f>
        <v/>
      </c>
      <c r="J1033" s="4">
        <f>TRIM(Raw_Data!J1033)</f>
        <v/>
      </c>
      <c r="K1033" s="4">
        <f>Raw_Data!K1033</f>
        <v/>
      </c>
      <c r="L1033" s="4">
        <f>IF(TRIM(Raw_Data!L1033)="","No Coupon",TRIM(Raw_Data!L1033))</f>
        <v/>
      </c>
      <c r="M1033" s="4">
        <f>PROPER(TRIM(Raw_Data!M1033))</f>
        <v/>
      </c>
      <c r="N1033" s="6">
        <f>ROUND(Raw_Data!N1033,2)</f>
        <v/>
      </c>
      <c r="O1033" s="7">
        <f>IF(COUNTIF($A$2:$A$1201,A1033)&gt;1,"DUPLICATE","Unique")</f>
        <v/>
      </c>
      <c r="P1033" s="7">
        <f>IF(COUNTIF($J$2:$J$1201,J1033)&gt;1,"DUPLICATE","Unique")</f>
        <v/>
      </c>
      <c r="Q1033" s="4">
        <f>IF(TRIM(Raw_Data!L1033)="","Yes","No")</f>
        <v/>
      </c>
      <c r="R1033" s="4">
        <f>IF(ISNUMBER(B1033),"Valid","INVALID")</f>
        <v/>
      </c>
    </row>
    <row r="1034">
      <c r="A1034" s="4">
        <f>TRIM(Raw_Data!A1034)</f>
        <v/>
      </c>
      <c r="B1034" s="5">
        <f>Raw_Data!B1034</f>
        <v/>
      </c>
      <c r="C1034" s="4">
        <f>TRIM(Raw_Data!C1034)</f>
        <v/>
      </c>
      <c r="D1034" s="4">
        <f>PROPER(TRIM(Raw_Data!D1034))</f>
        <v/>
      </c>
      <c r="E1034" s="4">
        <f>Raw_Data!E1034</f>
        <v/>
      </c>
      <c r="F1034" s="6">
        <f>ROUND(Raw_Data!F1034,2)</f>
        <v/>
      </c>
      <c r="G1034" s="4">
        <f>PROPER(TRIM(Raw_Data!G1034))</f>
        <v/>
      </c>
      <c r="H1034" s="4">
        <f>PROPER(TRIM(Raw_Data!H1034))</f>
        <v/>
      </c>
      <c r="I1034" s="4">
        <f>PROPER(TRIM(Raw_Data!I1034))</f>
        <v/>
      </c>
      <c r="J1034" s="4">
        <f>TRIM(Raw_Data!J1034)</f>
        <v/>
      </c>
      <c r="K1034" s="4">
        <f>Raw_Data!K1034</f>
        <v/>
      </c>
      <c r="L1034" s="4">
        <f>IF(TRIM(Raw_Data!L1034)="","No Coupon",TRIM(Raw_Data!L1034))</f>
        <v/>
      </c>
      <c r="M1034" s="4">
        <f>PROPER(TRIM(Raw_Data!M1034))</f>
        <v/>
      </c>
      <c r="N1034" s="6">
        <f>ROUND(Raw_Data!N1034,2)</f>
        <v/>
      </c>
      <c r="O1034" s="7">
        <f>IF(COUNTIF($A$2:$A$1201,A1034)&gt;1,"DUPLICATE","Unique")</f>
        <v/>
      </c>
      <c r="P1034" s="7">
        <f>IF(COUNTIF($J$2:$J$1201,J1034)&gt;1,"DUPLICATE","Unique")</f>
        <v/>
      </c>
      <c r="Q1034" s="4">
        <f>IF(TRIM(Raw_Data!L1034)="","Yes","No")</f>
        <v/>
      </c>
      <c r="R1034" s="4">
        <f>IF(ISNUMBER(B1034),"Valid","INVALID")</f>
        <v/>
      </c>
    </row>
    <row r="1035">
      <c r="A1035" s="4">
        <f>TRIM(Raw_Data!A1035)</f>
        <v/>
      </c>
      <c r="B1035" s="5">
        <f>Raw_Data!B1035</f>
        <v/>
      </c>
      <c r="C1035" s="4">
        <f>TRIM(Raw_Data!C1035)</f>
        <v/>
      </c>
      <c r="D1035" s="4">
        <f>PROPER(TRIM(Raw_Data!D1035))</f>
        <v/>
      </c>
      <c r="E1035" s="4">
        <f>Raw_Data!E1035</f>
        <v/>
      </c>
      <c r="F1035" s="6">
        <f>ROUND(Raw_Data!F1035,2)</f>
        <v/>
      </c>
      <c r="G1035" s="4">
        <f>PROPER(TRIM(Raw_Data!G1035))</f>
        <v/>
      </c>
      <c r="H1035" s="4">
        <f>PROPER(TRIM(Raw_Data!H1035))</f>
        <v/>
      </c>
      <c r="I1035" s="4">
        <f>PROPER(TRIM(Raw_Data!I1035))</f>
        <v/>
      </c>
      <c r="J1035" s="4">
        <f>TRIM(Raw_Data!J1035)</f>
        <v/>
      </c>
      <c r="K1035" s="4">
        <f>Raw_Data!K1035</f>
        <v/>
      </c>
      <c r="L1035" s="4">
        <f>IF(TRIM(Raw_Data!L1035)="","No Coupon",TRIM(Raw_Data!L1035))</f>
        <v/>
      </c>
      <c r="M1035" s="4">
        <f>PROPER(TRIM(Raw_Data!M1035))</f>
        <v/>
      </c>
      <c r="N1035" s="6">
        <f>ROUND(Raw_Data!N1035,2)</f>
        <v/>
      </c>
      <c r="O1035" s="7">
        <f>IF(COUNTIF($A$2:$A$1201,A1035)&gt;1,"DUPLICATE","Unique")</f>
        <v/>
      </c>
      <c r="P1035" s="7">
        <f>IF(COUNTIF($J$2:$J$1201,J1035)&gt;1,"DUPLICATE","Unique")</f>
        <v/>
      </c>
      <c r="Q1035" s="4">
        <f>IF(TRIM(Raw_Data!L1035)="","Yes","No")</f>
        <v/>
      </c>
      <c r="R1035" s="4">
        <f>IF(ISNUMBER(B1035),"Valid","INVALID")</f>
        <v/>
      </c>
    </row>
    <row r="1036">
      <c r="A1036" s="4">
        <f>TRIM(Raw_Data!A1036)</f>
        <v/>
      </c>
      <c r="B1036" s="5">
        <f>Raw_Data!B1036</f>
        <v/>
      </c>
      <c r="C1036" s="4">
        <f>TRIM(Raw_Data!C1036)</f>
        <v/>
      </c>
      <c r="D1036" s="4">
        <f>PROPER(TRIM(Raw_Data!D1036))</f>
        <v/>
      </c>
      <c r="E1036" s="4">
        <f>Raw_Data!E1036</f>
        <v/>
      </c>
      <c r="F1036" s="6">
        <f>ROUND(Raw_Data!F1036,2)</f>
        <v/>
      </c>
      <c r="G1036" s="4">
        <f>PROPER(TRIM(Raw_Data!G1036))</f>
        <v/>
      </c>
      <c r="H1036" s="4">
        <f>PROPER(TRIM(Raw_Data!H1036))</f>
        <v/>
      </c>
      <c r="I1036" s="4">
        <f>PROPER(TRIM(Raw_Data!I1036))</f>
        <v/>
      </c>
      <c r="J1036" s="4">
        <f>TRIM(Raw_Data!J1036)</f>
        <v/>
      </c>
      <c r="K1036" s="4">
        <f>Raw_Data!K1036</f>
        <v/>
      </c>
      <c r="L1036" s="4">
        <f>IF(TRIM(Raw_Data!L1036)="","No Coupon",TRIM(Raw_Data!L1036))</f>
        <v/>
      </c>
      <c r="M1036" s="4">
        <f>PROPER(TRIM(Raw_Data!M1036))</f>
        <v/>
      </c>
      <c r="N1036" s="6">
        <f>ROUND(Raw_Data!N1036,2)</f>
        <v/>
      </c>
      <c r="O1036" s="7">
        <f>IF(COUNTIF($A$2:$A$1201,A1036)&gt;1,"DUPLICATE","Unique")</f>
        <v/>
      </c>
      <c r="P1036" s="7">
        <f>IF(COUNTIF($J$2:$J$1201,J1036)&gt;1,"DUPLICATE","Unique")</f>
        <v/>
      </c>
      <c r="Q1036" s="4">
        <f>IF(TRIM(Raw_Data!L1036)="","Yes","No")</f>
        <v/>
      </c>
      <c r="R1036" s="4">
        <f>IF(ISNUMBER(B1036),"Valid","INVALID")</f>
        <v/>
      </c>
    </row>
    <row r="1037">
      <c r="A1037" s="4">
        <f>TRIM(Raw_Data!A1037)</f>
        <v/>
      </c>
      <c r="B1037" s="5">
        <f>Raw_Data!B1037</f>
        <v/>
      </c>
      <c r="C1037" s="4">
        <f>TRIM(Raw_Data!C1037)</f>
        <v/>
      </c>
      <c r="D1037" s="4">
        <f>PROPER(TRIM(Raw_Data!D1037))</f>
        <v/>
      </c>
      <c r="E1037" s="4">
        <f>Raw_Data!E1037</f>
        <v/>
      </c>
      <c r="F1037" s="6">
        <f>ROUND(Raw_Data!F1037,2)</f>
        <v/>
      </c>
      <c r="G1037" s="4">
        <f>PROPER(TRIM(Raw_Data!G1037))</f>
        <v/>
      </c>
      <c r="H1037" s="4">
        <f>PROPER(TRIM(Raw_Data!H1037))</f>
        <v/>
      </c>
      <c r="I1037" s="4">
        <f>PROPER(TRIM(Raw_Data!I1037))</f>
        <v/>
      </c>
      <c r="J1037" s="4">
        <f>TRIM(Raw_Data!J1037)</f>
        <v/>
      </c>
      <c r="K1037" s="4">
        <f>Raw_Data!K1037</f>
        <v/>
      </c>
      <c r="L1037" s="4">
        <f>IF(TRIM(Raw_Data!L1037)="","No Coupon",TRIM(Raw_Data!L1037))</f>
        <v/>
      </c>
      <c r="M1037" s="4">
        <f>PROPER(TRIM(Raw_Data!M1037))</f>
        <v/>
      </c>
      <c r="N1037" s="6">
        <f>ROUND(Raw_Data!N1037,2)</f>
        <v/>
      </c>
      <c r="O1037" s="7">
        <f>IF(COUNTIF($A$2:$A$1201,A1037)&gt;1,"DUPLICATE","Unique")</f>
        <v/>
      </c>
      <c r="P1037" s="7">
        <f>IF(COUNTIF($J$2:$J$1201,J1037)&gt;1,"DUPLICATE","Unique")</f>
        <v/>
      </c>
      <c r="Q1037" s="4">
        <f>IF(TRIM(Raw_Data!L1037)="","Yes","No")</f>
        <v/>
      </c>
      <c r="R1037" s="4">
        <f>IF(ISNUMBER(B1037),"Valid","INVALID")</f>
        <v/>
      </c>
    </row>
    <row r="1038">
      <c r="A1038" s="4">
        <f>TRIM(Raw_Data!A1038)</f>
        <v/>
      </c>
      <c r="B1038" s="5">
        <f>Raw_Data!B1038</f>
        <v/>
      </c>
      <c r="C1038" s="4">
        <f>TRIM(Raw_Data!C1038)</f>
        <v/>
      </c>
      <c r="D1038" s="4">
        <f>PROPER(TRIM(Raw_Data!D1038))</f>
        <v/>
      </c>
      <c r="E1038" s="4">
        <f>Raw_Data!E1038</f>
        <v/>
      </c>
      <c r="F1038" s="6">
        <f>ROUND(Raw_Data!F1038,2)</f>
        <v/>
      </c>
      <c r="G1038" s="4">
        <f>PROPER(TRIM(Raw_Data!G1038))</f>
        <v/>
      </c>
      <c r="H1038" s="4">
        <f>PROPER(TRIM(Raw_Data!H1038))</f>
        <v/>
      </c>
      <c r="I1038" s="4">
        <f>PROPER(TRIM(Raw_Data!I1038))</f>
        <v/>
      </c>
      <c r="J1038" s="4">
        <f>TRIM(Raw_Data!J1038)</f>
        <v/>
      </c>
      <c r="K1038" s="4">
        <f>Raw_Data!K1038</f>
        <v/>
      </c>
      <c r="L1038" s="4">
        <f>IF(TRIM(Raw_Data!L1038)="","No Coupon",TRIM(Raw_Data!L1038))</f>
        <v/>
      </c>
      <c r="M1038" s="4">
        <f>PROPER(TRIM(Raw_Data!M1038))</f>
        <v/>
      </c>
      <c r="N1038" s="6">
        <f>ROUND(Raw_Data!N1038,2)</f>
        <v/>
      </c>
      <c r="O1038" s="7">
        <f>IF(COUNTIF($A$2:$A$1201,A1038)&gt;1,"DUPLICATE","Unique")</f>
        <v/>
      </c>
      <c r="P1038" s="7">
        <f>IF(COUNTIF($J$2:$J$1201,J1038)&gt;1,"DUPLICATE","Unique")</f>
        <v/>
      </c>
      <c r="Q1038" s="4">
        <f>IF(TRIM(Raw_Data!L1038)="","Yes","No")</f>
        <v/>
      </c>
      <c r="R1038" s="4">
        <f>IF(ISNUMBER(B1038),"Valid","INVALID")</f>
        <v/>
      </c>
    </row>
    <row r="1039">
      <c r="A1039" s="4">
        <f>TRIM(Raw_Data!A1039)</f>
        <v/>
      </c>
      <c r="B1039" s="5">
        <f>Raw_Data!B1039</f>
        <v/>
      </c>
      <c r="C1039" s="4">
        <f>TRIM(Raw_Data!C1039)</f>
        <v/>
      </c>
      <c r="D1039" s="4">
        <f>PROPER(TRIM(Raw_Data!D1039))</f>
        <v/>
      </c>
      <c r="E1039" s="4">
        <f>Raw_Data!E1039</f>
        <v/>
      </c>
      <c r="F1039" s="6">
        <f>ROUND(Raw_Data!F1039,2)</f>
        <v/>
      </c>
      <c r="G1039" s="4">
        <f>PROPER(TRIM(Raw_Data!G1039))</f>
        <v/>
      </c>
      <c r="H1039" s="4">
        <f>PROPER(TRIM(Raw_Data!H1039))</f>
        <v/>
      </c>
      <c r="I1039" s="4">
        <f>PROPER(TRIM(Raw_Data!I1039))</f>
        <v/>
      </c>
      <c r="J1039" s="4">
        <f>TRIM(Raw_Data!J1039)</f>
        <v/>
      </c>
      <c r="K1039" s="4">
        <f>Raw_Data!K1039</f>
        <v/>
      </c>
      <c r="L1039" s="4">
        <f>IF(TRIM(Raw_Data!L1039)="","No Coupon",TRIM(Raw_Data!L1039))</f>
        <v/>
      </c>
      <c r="M1039" s="4">
        <f>PROPER(TRIM(Raw_Data!M1039))</f>
        <v/>
      </c>
      <c r="N1039" s="6">
        <f>ROUND(Raw_Data!N1039,2)</f>
        <v/>
      </c>
      <c r="O1039" s="7">
        <f>IF(COUNTIF($A$2:$A$1201,A1039)&gt;1,"DUPLICATE","Unique")</f>
        <v/>
      </c>
      <c r="P1039" s="7">
        <f>IF(COUNTIF($J$2:$J$1201,J1039)&gt;1,"DUPLICATE","Unique")</f>
        <v/>
      </c>
      <c r="Q1039" s="4">
        <f>IF(TRIM(Raw_Data!L1039)="","Yes","No")</f>
        <v/>
      </c>
      <c r="R1039" s="4">
        <f>IF(ISNUMBER(B1039),"Valid","INVALID")</f>
        <v/>
      </c>
    </row>
    <row r="1040">
      <c r="A1040" s="4">
        <f>TRIM(Raw_Data!A1040)</f>
        <v/>
      </c>
      <c r="B1040" s="5">
        <f>Raw_Data!B1040</f>
        <v/>
      </c>
      <c r="C1040" s="4">
        <f>TRIM(Raw_Data!C1040)</f>
        <v/>
      </c>
      <c r="D1040" s="4">
        <f>PROPER(TRIM(Raw_Data!D1040))</f>
        <v/>
      </c>
      <c r="E1040" s="4">
        <f>Raw_Data!E1040</f>
        <v/>
      </c>
      <c r="F1040" s="6">
        <f>ROUND(Raw_Data!F1040,2)</f>
        <v/>
      </c>
      <c r="G1040" s="4">
        <f>PROPER(TRIM(Raw_Data!G1040))</f>
        <v/>
      </c>
      <c r="H1040" s="4">
        <f>PROPER(TRIM(Raw_Data!H1040))</f>
        <v/>
      </c>
      <c r="I1040" s="4">
        <f>PROPER(TRIM(Raw_Data!I1040))</f>
        <v/>
      </c>
      <c r="J1040" s="4">
        <f>TRIM(Raw_Data!J1040)</f>
        <v/>
      </c>
      <c r="K1040" s="4">
        <f>Raw_Data!K1040</f>
        <v/>
      </c>
      <c r="L1040" s="4">
        <f>IF(TRIM(Raw_Data!L1040)="","No Coupon",TRIM(Raw_Data!L1040))</f>
        <v/>
      </c>
      <c r="M1040" s="4">
        <f>PROPER(TRIM(Raw_Data!M1040))</f>
        <v/>
      </c>
      <c r="N1040" s="6">
        <f>ROUND(Raw_Data!N1040,2)</f>
        <v/>
      </c>
      <c r="O1040" s="7">
        <f>IF(COUNTIF($A$2:$A$1201,A1040)&gt;1,"DUPLICATE","Unique")</f>
        <v/>
      </c>
      <c r="P1040" s="7">
        <f>IF(COUNTIF($J$2:$J$1201,J1040)&gt;1,"DUPLICATE","Unique")</f>
        <v/>
      </c>
      <c r="Q1040" s="4">
        <f>IF(TRIM(Raw_Data!L1040)="","Yes","No")</f>
        <v/>
      </c>
      <c r="R1040" s="4">
        <f>IF(ISNUMBER(B1040),"Valid","INVALID")</f>
        <v/>
      </c>
    </row>
    <row r="1041">
      <c r="A1041" s="4">
        <f>TRIM(Raw_Data!A1041)</f>
        <v/>
      </c>
      <c r="B1041" s="5">
        <f>Raw_Data!B1041</f>
        <v/>
      </c>
      <c r="C1041" s="4">
        <f>TRIM(Raw_Data!C1041)</f>
        <v/>
      </c>
      <c r="D1041" s="4">
        <f>PROPER(TRIM(Raw_Data!D1041))</f>
        <v/>
      </c>
      <c r="E1041" s="4">
        <f>Raw_Data!E1041</f>
        <v/>
      </c>
      <c r="F1041" s="6">
        <f>ROUND(Raw_Data!F1041,2)</f>
        <v/>
      </c>
      <c r="G1041" s="4">
        <f>PROPER(TRIM(Raw_Data!G1041))</f>
        <v/>
      </c>
      <c r="H1041" s="4">
        <f>PROPER(TRIM(Raw_Data!H1041))</f>
        <v/>
      </c>
      <c r="I1041" s="4">
        <f>PROPER(TRIM(Raw_Data!I1041))</f>
        <v/>
      </c>
      <c r="J1041" s="4">
        <f>TRIM(Raw_Data!J1041)</f>
        <v/>
      </c>
      <c r="K1041" s="4">
        <f>Raw_Data!K1041</f>
        <v/>
      </c>
      <c r="L1041" s="4">
        <f>IF(TRIM(Raw_Data!L1041)="","No Coupon",TRIM(Raw_Data!L1041))</f>
        <v/>
      </c>
      <c r="M1041" s="4">
        <f>PROPER(TRIM(Raw_Data!M1041))</f>
        <v/>
      </c>
      <c r="N1041" s="6">
        <f>ROUND(Raw_Data!N1041,2)</f>
        <v/>
      </c>
      <c r="O1041" s="7">
        <f>IF(COUNTIF($A$2:$A$1201,A1041)&gt;1,"DUPLICATE","Unique")</f>
        <v/>
      </c>
      <c r="P1041" s="7">
        <f>IF(COUNTIF($J$2:$J$1201,J1041)&gt;1,"DUPLICATE","Unique")</f>
        <v/>
      </c>
      <c r="Q1041" s="4">
        <f>IF(TRIM(Raw_Data!L1041)="","Yes","No")</f>
        <v/>
      </c>
      <c r="R1041" s="4">
        <f>IF(ISNUMBER(B1041),"Valid","INVALID")</f>
        <v/>
      </c>
    </row>
    <row r="1042">
      <c r="A1042" s="4">
        <f>TRIM(Raw_Data!A1042)</f>
        <v/>
      </c>
      <c r="B1042" s="5">
        <f>Raw_Data!B1042</f>
        <v/>
      </c>
      <c r="C1042" s="4">
        <f>TRIM(Raw_Data!C1042)</f>
        <v/>
      </c>
      <c r="D1042" s="4">
        <f>PROPER(TRIM(Raw_Data!D1042))</f>
        <v/>
      </c>
      <c r="E1042" s="4">
        <f>Raw_Data!E1042</f>
        <v/>
      </c>
      <c r="F1042" s="6">
        <f>ROUND(Raw_Data!F1042,2)</f>
        <v/>
      </c>
      <c r="G1042" s="4">
        <f>PROPER(TRIM(Raw_Data!G1042))</f>
        <v/>
      </c>
      <c r="H1042" s="4">
        <f>PROPER(TRIM(Raw_Data!H1042))</f>
        <v/>
      </c>
      <c r="I1042" s="4">
        <f>PROPER(TRIM(Raw_Data!I1042))</f>
        <v/>
      </c>
      <c r="J1042" s="4">
        <f>TRIM(Raw_Data!J1042)</f>
        <v/>
      </c>
      <c r="K1042" s="4">
        <f>Raw_Data!K1042</f>
        <v/>
      </c>
      <c r="L1042" s="4">
        <f>IF(TRIM(Raw_Data!L1042)="","No Coupon",TRIM(Raw_Data!L1042))</f>
        <v/>
      </c>
      <c r="M1042" s="4">
        <f>PROPER(TRIM(Raw_Data!M1042))</f>
        <v/>
      </c>
      <c r="N1042" s="6">
        <f>ROUND(Raw_Data!N1042,2)</f>
        <v/>
      </c>
      <c r="O1042" s="7">
        <f>IF(COUNTIF($A$2:$A$1201,A1042)&gt;1,"DUPLICATE","Unique")</f>
        <v/>
      </c>
      <c r="P1042" s="7">
        <f>IF(COUNTIF($J$2:$J$1201,J1042)&gt;1,"DUPLICATE","Unique")</f>
        <v/>
      </c>
      <c r="Q1042" s="4">
        <f>IF(TRIM(Raw_Data!L1042)="","Yes","No")</f>
        <v/>
      </c>
      <c r="R1042" s="4">
        <f>IF(ISNUMBER(B1042),"Valid","INVALID")</f>
        <v/>
      </c>
    </row>
    <row r="1043">
      <c r="A1043" s="4">
        <f>TRIM(Raw_Data!A1043)</f>
        <v/>
      </c>
      <c r="B1043" s="5">
        <f>Raw_Data!B1043</f>
        <v/>
      </c>
      <c r="C1043" s="4">
        <f>TRIM(Raw_Data!C1043)</f>
        <v/>
      </c>
      <c r="D1043" s="4">
        <f>PROPER(TRIM(Raw_Data!D1043))</f>
        <v/>
      </c>
      <c r="E1043" s="4">
        <f>Raw_Data!E1043</f>
        <v/>
      </c>
      <c r="F1043" s="6">
        <f>ROUND(Raw_Data!F1043,2)</f>
        <v/>
      </c>
      <c r="G1043" s="4">
        <f>PROPER(TRIM(Raw_Data!G1043))</f>
        <v/>
      </c>
      <c r="H1043" s="4">
        <f>PROPER(TRIM(Raw_Data!H1043))</f>
        <v/>
      </c>
      <c r="I1043" s="4">
        <f>PROPER(TRIM(Raw_Data!I1043))</f>
        <v/>
      </c>
      <c r="J1043" s="4">
        <f>TRIM(Raw_Data!J1043)</f>
        <v/>
      </c>
      <c r="K1043" s="4">
        <f>Raw_Data!K1043</f>
        <v/>
      </c>
      <c r="L1043" s="4">
        <f>IF(TRIM(Raw_Data!L1043)="","No Coupon",TRIM(Raw_Data!L1043))</f>
        <v/>
      </c>
      <c r="M1043" s="4">
        <f>PROPER(TRIM(Raw_Data!M1043))</f>
        <v/>
      </c>
      <c r="N1043" s="6">
        <f>ROUND(Raw_Data!N1043,2)</f>
        <v/>
      </c>
      <c r="O1043" s="7">
        <f>IF(COUNTIF($A$2:$A$1201,A1043)&gt;1,"DUPLICATE","Unique")</f>
        <v/>
      </c>
      <c r="P1043" s="7">
        <f>IF(COUNTIF($J$2:$J$1201,J1043)&gt;1,"DUPLICATE","Unique")</f>
        <v/>
      </c>
      <c r="Q1043" s="4">
        <f>IF(TRIM(Raw_Data!L1043)="","Yes","No")</f>
        <v/>
      </c>
      <c r="R1043" s="4">
        <f>IF(ISNUMBER(B1043),"Valid","INVALID")</f>
        <v/>
      </c>
    </row>
    <row r="1044">
      <c r="A1044" s="4">
        <f>TRIM(Raw_Data!A1044)</f>
        <v/>
      </c>
      <c r="B1044" s="5">
        <f>Raw_Data!B1044</f>
        <v/>
      </c>
      <c r="C1044" s="4">
        <f>TRIM(Raw_Data!C1044)</f>
        <v/>
      </c>
      <c r="D1044" s="4">
        <f>PROPER(TRIM(Raw_Data!D1044))</f>
        <v/>
      </c>
      <c r="E1044" s="4">
        <f>Raw_Data!E1044</f>
        <v/>
      </c>
      <c r="F1044" s="6">
        <f>ROUND(Raw_Data!F1044,2)</f>
        <v/>
      </c>
      <c r="G1044" s="4">
        <f>PROPER(TRIM(Raw_Data!G1044))</f>
        <v/>
      </c>
      <c r="H1044" s="4">
        <f>PROPER(TRIM(Raw_Data!H1044))</f>
        <v/>
      </c>
      <c r="I1044" s="4">
        <f>PROPER(TRIM(Raw_Data!I1044))</f>
        <v/>
      </c>
      <c r="J1044" s="4">
        <f>TRIM(Raw_Data!J1044)</f>
        <v/>
      </c>
      <c r="K1044" s="4">
        <f>Raw_Data!K1044</f>
        <v/>
      </c>
      <c r="L1044" s="4">
        <f>IF(TRIM(Raw_Data!L1044)="","No Coupon",TRIM(Raw_Data!L1044))</f>
        <v/>
      </c>
      <c r="M1044" s="4">
        <f>PROPER(TRIM(Raw_Data!M1044))</f>
        <v/>
      </c>
      <c r="N1044" s="6">
        <f>ROUND(Raw_Data!N1044,2)</f>
        <v/>
      </c>
      <c r="O1044" s="7">
        <f>IF(COUNTIF($A$2:$A$1201,A1044)&gt;1,"DUPLICATE","Unique")</f>
        <v/>
      </c>
      <c r="P1044" s="7">
        <f>IF(COUNTIF($J$2:$J$1201,J1044)&gt;1,"DUPLICATE","Unique")</f>
        <v/>
      </c>
      <c r="Q1044" s="4">
        <f>IF(TRIM(Raw_Data!L1044)="","Yes","No")</f>
        <v/>
      </c>
      <c r="R1044" s="4">
        <f>IF(ISNUMBER(B1044),"Valid","INVALID")</f>
        <v/>
      </c>
    </row>
    <row r="1045">
      <c r="A1045" s="4">
        <f>TRIM(Raw_Data!A1045)</f>
        <v/>
      </c>
      <c r="B1045" s="5">
        <f>Raw_Data!B1045</f>
        <v/>
      </c>
      <c r="C1045" s="4">
        <f>TRIM(Raw_Data!C1045)</f>
        <v/>
      </c>
      <c r="D1045" s="4">
        <f>PROPER(TRIM(Raw_Data!D1045))</f>
        <v/>
      </c>
      <c r="E1045" s="4">
        <f>Raw_Data!E1045</f>
        <v/>
      </c>
      <c r="F1045" s="6">
        <f>ROUND(Raw_Data!F1045,2)</f>
        <v/>
      </c>
      <c r="G1045" s="4">
        <f>PROPER(TRIM(Raw_Data!G1045))</f>
        <v/>
      </c>
      <c r="H1045" s="4">
        <f>PROPER(TRIM(Raw_Data!H1045))</f>
        <v/>
      </c>
      <c r="I1045" s="4">
        <f>PROPER(TRIM(Raw_Data!I1045))</f>
        <v/>
      </c>
      <c r="J1045" s="4">
        <f>TRIM(Raw_Data!J1045)</f>
        <v/>
      </c>
      <c r="K1045" s="4">
        <f>Raw_Data!K1045</f>
        <v/>
      </c>
      <c r="L1045" s="4">
        <f>IF(TRIM(Raw_Data!L1045)="","No Coupon",TRIM(Raw_Data!L1045))</f>
        <v/>
      </c>
      <c r="M1045" s="4">
        <f>PROPER(TRIM(Raw_Data!M1045))</f>
        <v/>
      </c>
      <c r="N1045" s="6">
        <f>ROUND(Raw_Data!N1045,2)</f>
        <v/>
      </c>
      <c r="O1045" s="7">
        <f>IF(COUNTIF($A$2:$A$1201,A1045)&gt;1,"DUPLICATE","Unique")</f>
        <v/>
      </c>
      <c r="P1045" s="7">
        <f>IF(COUNTIF($J$2:$J$1201,J1045)&gt;1,"DUPLICATE","Unique")</f>
        <v/>
      </c>
      <c r="Q1045" s="4">
        <f>IF(TRIM(Raw_Data!L1045)="","Yes","No")</f>
        <v/>
      </c>
      <c r="R1045" s="4">
        <f>IF(ISNUMBER(B1045),"Valid","INVALID")</f>
        <v/>
      </c>
    </row>
    <row r="1046">
      <c r="A1046" s="4">
        <f>TRIM(Raw_Data!A1046)</f>
        <v/>
      </c>
      <c r="B1046" s="5">
        <f>Raw_Data!B1046</f>
        <v/>
      </c>
      <c r="C1046" s="4">
        <f>TRIM(Raw_Data!C1046)</f>
        <v/>
      </c>
      <c r="D1046" s="4">
        <f>PROPER(TRIM(Raw_Data!D1046))</f>
        <v/>
      </c>
      <c r="E1046" s="4">
        <f>Raw_Data!E1046</f>
        <v/>
      </c>
      <c r="F1046" s="6">
        <f>ROUND(Raw_Data!F1046,2)</f>
        <v/>
      </c>
      <c r="G1046" s="4">
        <f>PROPER(TRIM(Raw_Data!G1046))</f>
        <v/>
      </c>
      <c r="H1046" s="4">
        <f>PROPER(TRIM(Raw_Data!H1046))</f>
        <v/>
      </c>
      <c r="I1046" s="4">
        <f>PROPER(TRIM(Raw_Data!I1046))</f>
        <v/>
      </c>
      <c r="J1046" s="4">
        <f>TRIM(Raw_Data!J1046)</f>
        <v/>
      </c>
      <c r="K1046" s="4">
        <f>Raw_Data!K1046</f>
        <v/>
      </c>
      <c r="L1046" s="4">
        <f>IF(TRIM(Raw_Data!L1046)="","No Coupon",TRIM(Raw_Data!L1046))</f>
        <v/>
      </c>
      <c r="M1046" s="4">
        <f>PROPER(TRIM(Raw_Data!M1046))</f>
        <v/>
      </c>
      <c r="N1046" s="6">
        <f>ROUND(Raw_Data!N1046,2)</f>
        <v/>
      </c>
      <c r="O1046" s="7">
        <f>IF(COUNTIF($A$2:$A$1201,A1046)&gt;1,"DUPLICATE","Unique")</f>
        <v/>
      </c>
      <c r="P1046" s="7">
        <f>IF(COUNTIF($J$2:$J$1201,J1046)&gt;1,"DUPLICATE","Unique")</f>
        <v/>
      </c>
      <c r="Q1046" s="4">
        <f>IF(TRIM(Raw_Data!L1046)="","Yes","No")</f>
        <v/>
      </c>
      <c r="R1046" s="4">
        <f>IF(ISNUMBER(B1046),"Valid","INVALID")</f>
        <v/>
      </c>
    </row>
    <row r="1047">
      <c r="A1047" s="4">
        <f>TRIM(Raw_Data!A1047)</f>
        <v/>
      </c>
      <c r="B1047" s="5">
        <f>Raw_Data!B1047</f>
        <v/>
      </c>
      <c r="C1047" s="4">
        <f>TRIM(Raw_Data!C1047)</f>
        <v/>
      </c>
      <c r="D1047" s="4">
        <f>PROPER(TRIM(Raw_Data!D1047))</f>
        <v/>
      </c>
      <c r="E1047" s="4">
        <f>Raw_Data!E1047</f>
        <v/>
      </c>
      <c r="F1047" s="6">
        <f>ROUND(Raw_Data!F1047,2)</f>
        <v/>
      </c>
      <c r="G1047" s="4">
        <f>PROPER(TRIM(Raw_Data!G1047))</f>
        <v/>
      </c>
      <c r="H1047" s="4">
        <f>PROPER(TRIM(Raw_Data!H1047))</f>
        <v/>
      </c>
      <c r="I1047" s="4">
        <f>PROPER(TRIM(Raw_Data!I1047))</f>
        <v/>
      </c>
      <c r="J1047" s="4">
        <f>TRIM(Raw_Data!J1047)</f>
        <v/>
      </c>
      <c r="K1047" s="4">
        <f>Raw_Data!K1047</f>
        <v/>
      </c>
      <c r="L1047" s="4">
        <f>IF(TRIM(Raw_Data!L1047)="","No Coupon",TRIM(Raw_Data!L1047))</f>
        <v/>
      </c>
      <c r="M1047" s="4">
        <f>PROPER(TRIM(Raw_Data!M1047))</f>
        <v/>
      </c>
      <c r="N1047" s="6">
        <f>ROUND(Raw_Data!N1047,2)</f>
        <v/>
      </c>
      <c r="O1047" s="7">
        <f>IF(COUNTIF($A$2:$A$1201,A1047)&gt;1,"DUPLICATE","Unique")</f>
        <v/>
      </c>
      <c r="P1047" s="7">
        <f>IF(COUNTIF($J$2:$J$1201,J1047)&gt;1,"DUPLICATE","Unique")</f>
        <v/>
      </c>
      <c r="Q1047" s="4">
        <f>IF(TRIM(Raw_Data!L1047)="","Yes","No")</f>
        <v/>
      </c>
      <c r="R1047" s="4">
        <f>IF(ISNUMBER(B1047),"Valid","INVALID")</f>
        <v/>
      </c>
    </row>
    <row r="1048">
      <c r="A1048" s="4">
        <f>TRIM(Raw_Data!A1048)</f>
        <v/>
      </c>
      <c r="B1048" s="5">
        <f>Raw_Data!B1048</f>
        <v/>
      </c>
      <c r="C1048" s="4">
        <f>TRIM(Raw_Data!C1048)</f>
        <v/>
      </c>
      <c r="D1048" s="4">
        <f>PROPER(TRIM(Raw_Data!D1048))</f>
        <v/>
      </c>
      <c r="E1048" s="4">
        <f>Raw_Data!E1048</f>
        <v/>
      </c>
      <c r="F1048" s="6">
        <f>ROUND(Raw_Data!F1048,2)</f>
        <v/>
      </c>
      <c r="G1048" s="4">
        <f>PROPER(TRIM(Raw_Data!G1048))</f>
        <v/>
      </c>
      <c r="H1048" s="4">
        <f>PROPER(TRIM(Raw_Data!H1048))</f>
        <v/>
      </c>
      <c r="I1048" s="4">
        <f>PROPER(TRIM(Raw_Data!I1048))</f>
        <v/>
      </c>
      <c r="J1048" s="4">
        <f>TRIM(Raw_Data!J1048)</f>
        <v/>
      </c>
      <c r="K1048" s="4">
        <f>Raw_Data!K1048</f>
        <v/>
      </c>
      <c r="L1048" s="4">
        <f>IF(TRIM(Raw_Data!L1048)="","No Coupon",TRIM(Raw_Data!L1048))</f>
        <v/>
      </c>
      <c r="M1048" s="4">
        <f>PROPER(TRIM(Raw_Data!M1048))</f>
        <v/>
      </c>
      <c r="N1048" s="6">
        <f>ROUND(Raw_Data!N1048,2)</f>
        <v/>
      </c>
      <c r="O1048" s="7">
        <f>IF(COUNTIF($A$2:$A$1201,A1048)&gt;1,"DUPLICATE","Unique")</f>
        <v/>
      </c>
      <c r="P1048" s="7">
        <f>IF(COUNTIF($J$2:$J$1201,J1048)&gt;1,"DUPLICATE","Unique")</f>
        <v/>
      </c>
      <c r="Q1048" s="4">
        <f>IF(TRIM(Raw_Data!L1048)="","Yes","No")</f>
        <v/>
      </c>
      <c r="R1048" s="4">
        <f>IF(ISNUMBER(B1048),"Valid","INVALID")</f>
        <v/>
      </c>
    </row>
    <row r="1049">
      <c r="A1049" s="4">
        <f>TRIM(Raw_Data!A1049)</f>
        <v/>
      </c>
      <c r="B1049" s="5">
        <f>Raw_Data!B1049</f>
        <v/>
      </c>
      <c r="C1049" s="4">
        <f>TRIM(Raw_Data!C1049)</f>
        <v/>
      </c>
      <c r="D1049" s="4">
        <f>PROPER(TRIM(Raw_Data!D1049))</f>
        <v/>
      </c>
      <c r="E1049" s="4">
        <f>Raw_Data!E1049</f>
        <v/>
      </c>
      <c r="F1049" s="6">
        <f>ROUND(Raw_Data!F1049,2)</f>
        <v/>
      </c>
      <c r="G1049" s="4">
        <f>PROPER(TRIM(Raw_Data!G1049))</f>
        <v/>
      </c>
      <c r="H1049" s="4">
        <f>PROPER(TRIM(Raw_Data!H1049))</f>
        <v/>
      </c>
      <c r="I1049" s="4">
        <f>PROPER(TRIM(Raw_Data!I1049))</f>
        <v/>
      </c>
      <c r="J1049" s="4">
        <f>TRIM(Raw_Data!J1049)</f>
        <v/>
      </c>
      <c r="K1049" s="4">
        <f>Raw_Data!K1049</f>
        <v/>
      </c>
      <c r="L1049" s="4">
        <f>IF(TRIM(Raw_Data!L1049)="","No Coupon",TRIM(Raw_Data!L1049))</f>
        <v/>
      </c>
      <c r="M1049" s="4">
        <f>PROPER(TRIM(Raw_Data!M1049))</f>
        <v/>
      </c>
      <c r="N1049" s="6">
        <f>ROUND(Raw_Data!N1049,2)</f>
        <v/>
      </c>
      <c r="O1049" s="7">
        <f>IF(COUNTIF($A$2:$A$1201,A1049)&gt;1,"DUPLICATE","Unique")</f>
        <v/>
      </c>
      <c r="P1049" s="7">
        <f>IF(COUNTIF($J$2:$J$1201,J1049)&gt;1,"DUPLICATE","Unique")</f>
        <v/>
      </c>
      <c r="Q1049" s="4">
        <f>IF(TRIM(Raw_Data!L1049)="","Yes","No")</f>
        <v/>
      </c>
      <c r="R1049" s="4">
        <f>IF(ISNUMBER(B1049),"Valid","INVALID")</f>
        <v/>
      </c>
    </row>
    <row r="1050">
      <c r="A1050" s="4">
        <f>TRIM(Raw_Data!A1050)</f>
        <v/>
      </c>
      <c r="B1050" s="5">
        <f>Raw_Data!B1050</f>
        <v/>
      </c>
      <c r="C1050" s="4">
        <f>TRIM(Raw_Data!C1050)</f>
        <v/>
      </c>
      <c r="D1050" s="4">
        <f>PROPER(TRIM(Raw_Data!D1050))</f>
        <v/>
      </c>
      <c r="E1050" s="4">
        <f>Raw_Data!E1050</f>
        <v/>
      </c>
      <c r="F1050" s="6">
        <f>ROUND(Raw_Data!F1050,2)</f>
        <v/>
      </c>
      <c r="G1050" s="4">
        <f>PROPER(TRIM(Raw_Data!G1050))</f>
        <v/>
      </c>
      <c r="H1050" s="4">
        <f>PROPER(TRIM(Raw_Data!H1050))</f>
        <v/>
      </c>
      <c r="I1050" s="4">
        <f>PROPER(TRIM(Raw_Data!I1050))</f>
        <v/>
      </c>
      <c r="J1050" s="4">
        <f>TRIM(Raw_Data!J1050)</f>
        <v/>
      </c>
      <c r="K1050" s="4">
        <f>Raw_Data!K1050</f>
        <v/>
      </c>
      <c r="L1050" s="4">
        <f>IF(TRIM(Raw_Data!L1050)="","No Coupon",TRIM(Raw_Data!L1050))</f>
        <v/>
      </c>
      <c r="M1050" s="4">
        <f>PROPER(TRIM(Raw_Data!M1050))</f>
        <v/>
      </c>
      <c r="N1050" s="6">
        <f>ROUND(Raw_Data!N1050,2)</f>
        <v/>
      </c>
      <c r="O1050" s="7">
        <f>IF(COUNTIF($A$2:$A$1201,A1050)&gt;1,"DUPLICATE","Unique")</f>
        <v/>
      </c>
      <c r="P1050" s="7">
        <f>IF(COUNTIF($J$2:$J$1201,J1050)&gt;1,"DUPLICATE","Unique")</f>
        <v/>
      </c>
      <c r="Q1050" s="4">
        <f>IF(TRIM(Raw_Data!L1050)="","Yes","No")</f>
        <v/>
      </c>
      <c r="R1050" s="4">
        <f>IF(ISNUMBER(B1050),"Valid","INVALID")</f>
        <v/>
      </c>
    </row>
    <row r="1051">
      <c r="A1051" s="4">
        <f>TRIM(Raw_Data!A1051)</f>
        <v/>
      </c>
      <c r="B1051" s="5">
        <f>Raw_Data!B1051</f>
        <v/>
      </c>
      <c r="C1051" s="4">
        <f>TRIM(Raw_Data!C1051)</f>
        <v/>
      </c>
      <c r="D1051" s="4">
        <f>PROPER(TRIM(Raw_Data!D1051))</f>
        <v/>
      </c>
      <c r="E1051" s="4">
        <f>Raw_Data!E1051</f>
        <v/>
      </c>
      <c r="F1051" s="6">
        <f>ROUND(Raw_Data!F1051,2)</f>
        <v/>
      </c>
      <c r="G1051" s="4">
        <f>PROPER(TRIM(Raw_Data!G1051))</f>
        <v/>
      </c>
      <c r="H1051" s="4">
        <f>PROPER(TRIM(Raw_Data!H1051))</f>
        <v/>
      </c>
      <c r="I1051" s="4">
        <f>PROPER(TRIM(Raw_Data!I1051))</f>
        <v/>
      </c>
      <c r="J1051" s="4">
        <f>TRIM(Raw_Data!J1051)</f>
        <v/>
      </c>
      <c r="K1051" s="4">
        <f>Raw_Data!K1051</f>
        <v/>
      </c>
      <c r="L1051" s="4">
        <f>IF(TRIM(Raw_Data!L1051)="","No Coupon",TRIM(Raw_Data!L1051))</f>
        <v/>
      </c>
      <c r="M1051" s="4">
        <f>PROPER(TRIM(Raw_Data!M1051))</f>
        <v/>
      </c>
      <c r="N1051" s="6">
        <f>ROUND(Raw_Data!N1051,2)</f>
        <v/>
      </c>
      <c r="O1051" s="7">
        <f>IF(COUNTIF($A$2:$A$1201,A1051)&gt;1,"DUPLICATE","Unique")</f>
        <v/>
      </c>
      <c r="P1051" s="7">
        <f>IF(COUNTIF($J$2:$J$1201,J1051)&gt;1,"DUPLICATE","Unique")</f>
        <v/>
      </c>
      <c r="Q1051" s="4">
        <f>IF(TRIM(Raw_Data!L1051)="","Yes","No")</f>
        <v/>
      </c>
      <c r="R1051" s="4">
        <f>IF(ISNUMBER(B1051),"Valid","INVALID")</f>
        <v/>
      </c>
    </row>
    <row r="1052">
      <c r="A1052" s="4">
        <f>TRIM(Raw_Data!A1052)</f>
        <v/>
      </c>
      <c r="B1052" s="5">
        <f>Raw_Data!B1052</f>
        <v/>
      </c>
      <c r="C1052" s="4">
        <f>TRIM(Raw_Data!C1052)</f>
        <v/>
      </c>
      <c r="D1052" s="4">
        <f>PROPER(TRIM(Raw_Data!D1052))</f>
        <v/>
      </c>
      <c r="E1052" s="4">
        <f>Raw_Data!E1052</f>
        <v/>
      </c>
      <c r="F1052" s="6">
        <f>ROUND(Raw_Data!F1052,2)</f>
        <v/>
      </c>
      <c r="G1052" s="4">
        <f>PROPER(TRIM(Raw_Data!G1052))</f>
        <v/>
      </c>
      <c r="H1052" s="4">
        <f>PROPER(TRIM(Raw_Data!H1052))</f>
        <v/>
      </c>
      <c r="I1052" s="4">
        <f>PROPER(TRIM(Raw_Data!I1052))</f>
        <v/>
      </c>
      <c r="J1052" s="4">
        <f>TRIM(Raw_Data!J1052)</f>
        <v/>
      </c>
      <c r="K1052" s="4">
        <f>Raw_Data!K1052</f>
        <v/>
      </c>
      <c r="L1052" s="4">
        <f>IF(TRIM(Raw_Data!L1052)="","No Coupon",TRIM(Raw_Data!L1052))</f>
        <v/>
      </c>
      <c r="M1052" s="4">
        <f>PROPER(TRIM(Raw_Data!M1052))</f>
        <v/>
      </c>
      <c r="N1052" s="6">
        <f>ROUND(Raw_Data!N1052,2)</f>
        <v/>
      </c>
      <c r="O1052" s="7">
        <f>IF(COUNTIF($A$2:$A$1201,A1052)&gt;1,"DUPLICATE","Unique")</f>
        <v/>
      </c>
      <c r="P1052" s="7">
        <f>IF(COUNTIF($J$2:$J$1201,J1052)&gt;1,"DUPLICATE","Unique")</f>
        <v/>
      </c>
      <c r="Q1052" s="4">
        <f>IF(TRIM(Raw_Data!L1052)="","Yes","No")</f>
        <v/>
      </c>
      <c r="R1052" s="4">
        <f>IF(ISNUMBER(B1052),"Valid","INVALID")</f>
        <v/>
      </c>
    </row>
    <row r="1053">
      <c r="A1053" s="4">
        <f>TRIM(Raw_Data!A1053)</f>
        <v/>
      </c>
      <c r="B1053" s="5">
        <f>Raw_Data!B1053</f>
        <v/>
      </c>
      <c r="C1053" s="4">
        <f>TRIM(Raw_Data!C1053)</f>
        <v/>
      </c>
      <c r="D1053" s="4">
        <f>PROPER(TRIM(Raw_Data!D1053))</f>
        <v/>
      </c>
      <c r="E1053" s="4">
        <f>Raw_Data!E1053</f>
        <v/>
      </c>
      <c r="F1053" s="6">
        <f>ROUND(Raw_Data!F1053,2)</f>
        <v/>
      </c>
      <c r="G1053" s="4">
        <f>PROPER(TRIM(Raw_Data!G1053))</f>
        <v/>
      </c>
      <c r="H1053" s="4">
        <f>PROPER(TRIM(Raw_Data!H1053))</f>
        <v/>
      </c>
      <c r="I1053" s="4">
        <f>PROPER(TRIM(Raw_Data!I1053))</f>
        <v/>
      </c>
      <c r="J1053" s="4">
        <f>TRIM(Raw_Data!J1053)</f>
        <v/>
      </c>
      <c r="K1053" s="4">
        <f>Raw_Data!K1053</f>
        <v/>
      </c>
      <c r="L1053" s="4">
        <f>IF(TRIM(Raw_Data!L1053)="","No Coupon",TRIM(Raw_Data!L1053))</f>
        <v/>
      </c>
      <c r="M1053" s="4">
        <f>PROPER(TRIM(Raw_Data!M1053))</f>
        <v/>
      </c>
      <c r="N1053" s="6">
        <f>ROUND(Raw_Data!N1053,2)</f>
        <v/>
      </c>
      <c r="O1053" s="7">
        <f>IF(COUNTIF($A$2:$A$1201,A1053)&gt;1,"DUPLICATE","Unique")</f>
        <v/>
      </c>
      <c r="P1053" s="7">
        <f>IF(COUNTIF($J$2:$J$1201,J1053)&gt;1,"DUPLICATE","Unique")</f>
        <v/>
      </c>
      <c r="Q1053" s="4">
        <f>IF(TRIM(Raw_Data!L1053)="","Yes","No")</f>
        <v/>
      </c>
      <c r="R1053" s="4">
        <f>IF(ISNUMBER(B1053),"Valid","INVALID")</f>
        <v/>
      </c>
    </row>
    <row r="1054">
      <c r="A1054" s="4">
        <f>TRIM(Raw_Data!A1054)</f>
        <v/>
      </c>
      <c r="B1054" s="5">
        <f>Raw_Data!B1054</f>
        <v/>
      </c>
      <c r="C1054" s="4">
        <f>TRIM(Raw_Data!C1054)</f>
        <v/>
      </c>
      <c r="D1054" s="4">
        <f>PROPER(TRIM(Raw_Data!D1054))</f>
        <v/>
      </c>
      <c r="E1054" s="4">
        <f>Raw_Data!E1054</f>
        <v/>
      </c>
      <c r="F1054" s="6">
        <f>ROUND(Raw_Data!F1054,2)</f>
        <v/>
      </c>
      <c r="G1054" s="4">
        <f>PROPER(TRIM(Raw_Data!G1054))</f>
        <v/>
      </c>
      <c r="H1054" s="4">
        <f>PROPER(TRIM(Raw_Data!H1054))</f>
        <v/>
      </c>
      <c r="I1054" s="4">
        <f>PROPER(TRIM(Raw_Data!I1054))</f>
        <v/>
      </c>
      <c r="J1054" s="4">
        <f>TRIM(Raw_Data!J1054)</f>
        <v/>
      </c>
      <c r="K1054" s="4">
        <f>Raw_Data!K1054</f>
        <v/>
      </c>
      <c r="L1054" s="4">
        <f>IF(TRIM(Raw_Data!L1054)="","No Coupon",TRIM(Raw_Data!L1054))</f>
        <v/>
      </c>
      <c r="M1054" s="4">
        <f>PROPER(TRIM(Raw_Data!M1054))</f>
        <v/>
      </c>
      <c r="N1054" s="6">
        <f>ROUND(Raw_Data!N1054,2)</f>
        <v/>
      </c>
      <c r="O1054" s="7">
        <f>IF(COUNTIF($A$2:$A$1201,A1054)&gt;1,"DUPLICATE","Unique")</f>
        <v/>
      </c>
      <c r="P1054" s="7">
        <f>IF(COUNTIF($J$2:$J$1201,J1054)&gt;1,"DUPLICATE","Unique")</f>
        <v/>
      </c>
      <c r="Q1054" s="4">
        <f>IF(TRIM(Raw_Data!L1054)="","Yes","No")</f>
        <v/>
      </c>
      <c r="R1054" s="4">
        <f>IF(ISNUMBER(B1054),"Valid","INVALID")</f>
        <v/>
      </c>
    </row>
    <row r="1055">
      <c r="A1055" s="4">
        <f>TRIM(Raw_Data!A1055)</f>
        <v/>
      </c>
      <c r="B1055" s="5">
        <f>Raw_Data!B1055</f>
        <v/>
      </c>
      <c r="C1055" s="4">
        <f>TRIM(Raw_Data!C1055)</f>
        <v/>
      </c>
      <c r="D1055" s="4">
        <f>PROPER(TRIM(Raw_Data!D1055))</f>
        <v/>
      </c>
      <c r="E1055" s="4">
        <f>Raw_Data!E1055</f>
        <v/>
      </c>
      <c r="F1055" s="6">
        <f>ROUND(Raw_Data!F1055,2)</f>
        <v/>
      </c>
      <c r="G1055" s="4">
        <f>PROPER(TRIM(Raw_Data!G1055))</f>
        <v/>
      </c>
      <c r="H1055" s="4">
        <f>PROPER(TRIM(Raw_Data!H1055))</f>
        <v/>
      </c>
      <c r="I1055" s="4">
        <f>PROPER(TRIM(Raw_Data!I1055))</f>
        <v/>
      </c>
      <c r="J1055" s="4">
        <f>TRIM(Raw_Data!J1055)</f>
        <v/>
      </c>
      <c r="K1055" s="4">
        <f>Raw_Data!K1055</f>
        <v/>
      </c>
      <c r="L1055" s="4">
        <f>IF(TRIM(Raw_Data!L1055)="","No Coupon",TRIM(Raw_Data!L1055))</f>
        <v/>
      </c>
      <c r="M1055" s="4">
        <f>PROPER(TRIM(Raw_Data!M1055))</f>
        <v/>
      </c>
      <c r="N1055" s="6">
        <f>ROUND(Raw_Data!N1055,2)</f>
        <v/>
      </c>
      <c r="O1055" s="7">
        <f>IF(COUNTIF($A$2:$A$1201,A1055)&gt;1,"DUPLICATE","Unique")</f>
        <v/>
      </c>
      <c r="P1055" s="7">
        <f>IF(COUNTIF($J$2:$J$1201,J1055)&gt;1,"DUPLICATE","Unique")</f>
        <v/>
      </c>
      <c r="Q1055" s="4">
        <f>IF(TRIM(Raw_Data!L1055)="","Yes","No")</f>
        <v/>
      </c>
      <c r="R1055" s="4">
        <f>IF(ISNUMBER(B1055),"Valid","INVALID")</f>
        <v/>
      </c>
    </row>
    <row r="1056">
      <c r="A1056" s="4">
        <f>TRIM(Raw_Data!A1056)</f>
        <v/>
      </c>
      <c r="B1056" s="5">
        <f>Raw_Data!B1056</f>
        <v/>
      </c>
      <c r="C1056" s="4">
        <f>TRIM(Raw_Data!C1056)</f>
        <v/>
      </c>
      <c r="D1056" s="4">
        <f>PROPER(TRIM(Raw_Data!D1056))</f>
        <v/>
      </c>
      <c r="E1056" s="4">
        <f>Raw_Data!E1056</f>
        <v/>
      </c>
      <c r="F1056" s="6">
        <f>ROUND(Raw_Data!F1056,2)</f>
        <v/>
      </c>
      <c r="G1056" s="4">
        <f>PROPER(TRIM(Raw_Data!G1056))</f>
        <v/>
      </c>
      <c r="H1056" s="4">
        <f>PROPER(TRIM(Raw_Data!H1056))</f>
        <v/>
      </c>
      <c r="I1056" s="4">
        <f>PROPER(TRIM(Raw_Data!I1056))</f>
        <v/>
      </c>
      <c r="J1056" s="4">
        <f>TRIM(Raw_Data!J1056)</f>
        <v/>
      </c>
      <c r="K1056" s="4">
        <f>Raw_Data!K1056</f>
        <v/>
      </c>
      <c r="L1056" s="4">
        <f>IF(TRIM(Raw_Data!L1056)="","No Coupon",TRIM(Raw_Data!L1056))</f>
        <v/>
      </c>
      <c r="M1056" s="4">
        <f>PROPER(TRIM(Raw_Data!M1056))</f>
        <v/>
      </c>
      <c r="N1056" s="6">
        <f>ROUND(Raw_Data!N1056,2)</f>
        <v/>
      </c>
      <c r="O1056" s="7">
        <f>IF(COUNTIF($A$2:$A$1201,A1056)&gt;1,"DUPLICATE","Unique")</f>
        <v/>
      </c>
      <c r="P1056" s="7">
        <f>IF(COUNTIF($J$2:$J$1201,J1056)&gt;1,"DUPLICATE","Unique")</f>
        <v/>
      </c>
      <c r="Q1056" s="4">
        <f>IF(TRIM(Raw_Data!L1056)="","Yes","No")</f>
        <v/>
      </c>
      <c r="R1056" s="4">
        <f>IF(ISNUMBER(B1056),"Valid","INVALID")</f>
        <v/>
      </c>
    </row>
    <row r="1057">
      <c r="A1057" s="4">
        <f>TRIM(Raw_Data!A1057)</f>
        <v/>
      </c>
      <c r="B1057" s="5">
        <f>Raw_Data!B1057</f>
        <v/>
      </c>
      <c r="C1057" s="4">
        <f>TRIM(Raw_Data!C1057)</f>
        <v/>
      </c>
      <c r="D1057" s="4">
        <f>PROPER(TRIM(Raw_Data!D1057))</f>
        <v/>
      </c>
      <c r="E1057" s="4">
        <f>Raw_Data!E1057</f>
        <v/>
      </c>
      <c r="F1057" s="6">
        <f>ROUND(Raw_Data!F1057,2)</f>
        <v/>
      </c>
      <c r="G1057" s="4">
        <f>PROPER(TRIM(Raw_Data!G1057))</f>
        <v/>
      </c>
      <c r="H1057" s="4">
        <f>PROPER(TRIM(Raw_Data!H1057))</f>
        <v/>
      </c>
      <c r="I1057" s="4">
        <f>PROPER(TRIM(Raw_Data!I1057))</f>
        <v/>
      </c>
      <c r="J1057" s="4">
        <f>TRIM(Raw_Data!J1057)</f>
        <v/>
      </c>
      <c r="K1057" s="4">
        <f>Raw_Data!K1057</f>
        <v/>
      </c>
      <c r="L1057" s="4">
        <f>IF(TRIM(Raw_Data!L1057)="","No Coupon",TRIM(Raw_Data!L1057))</f>
        <v/>
      </c>
      <c r="M1057" s="4">
        <f>PROPER(TRIM(Raw_Data!M1057))</f>
        <v/>
      </c>
      <c r="N1057" s="6">
        <f>ROUND(Raw_Data!N1057,2)</f>
        <v/>
      </c>
      <c r="O1057" s="7">
        <f>IF(COUNTIF($A$2:$A$1201,A1057)&gt;1,"DUPLICATE","Unique")</f>
        <v/>
      </c>
      <c r="P1057" s="7">
        <f>IF(COUNTIF($J$2:$J$1201,J1057)&gt;1,"DUPLICATE","Unique")</f>
        <v/>
      </c>
      <c r="Q1057" s="4">
        <f>IF(TRIM(Raw_Data!L1057)="","Yes","No")</f>
        <v/>
      </c>
      <c r="R1057" s="4">
        <f>IF(ISNUMBER(B1057),"Valid","INVALID")</f>
        <v/>
      </c>
    </row>
    <row r="1058">
      <c r="A1058" s="4">
        <f>TRIM(Raw_Data!A1058)</f>
        <v/>
      </c>
      <c r="B1058" s="5">
        <f>Raw_Data!B1058</f>
        <v/>
      </c>
      <c r="C1058" s="4">
        <f>TRIM(Raw_Data!C1058)</f>
        <v/>
      </c>
      <c r="D1058" s="4">
        <f>PROPER(TRIM(Raw_Data!D1058))</f>
        <v/>
      </c>
      <c r="E1058" s="4">
        <f>Raw_Data!E1058</f>
        <v/>
      </c>
      <c r="F1058" s="6">
        <f>ROUND(Raw_Data!F1058,2)</f>
        <v/>
      </c>
      <c r="G1058" s="4">
        <f>PROPER(TRIM(Raw_Data!G1058))</f>
        <v/>
      </c>
      <c r="H1058" s="4">
        <f>PROPER(TRIM(Raw_Data!H1058))</f>
        <v/>
      </c>
      <c r="I1058" s="4">
        <f>PROPER(TRIM(Raw_Data!I1058))</f>
        <v/>
      </c>
      <c r="J1058" s="4">
        <f>TRIM(Raw_Data!J1058)</f>
        <v/>
      </c>
      <c r="K1058" s="4">
        <f>Raw_Data!K1058</f>
        <v/>
      </c>
      <c r="L1058" s="4">
        <f>IF(TRIM(Raw_Data!L1058)="","No Coupon",TRIM(Raw_Data!L1058))</f>
        <v/>
      </c>
      <c r="M1058" s="4">
        <f>PROPER(TRIM(Raw_Data!M1058))</f>
        <v/>
      </c>
      <c r="N1058" s="6">
        <f>ROUND(Raw_Data!N1058,2)</f>
        <v/>
      </c>
      <c r="O1058" s="7">
        <f>IF(COUNTIF($A$2:$A$1201,A1058)&gt;1,"DUPLICATE","Unique")</f>
        <v/>
      </c>
      <c r="P1058" s="7">
        <f>IF(COUNTIF($J$2:$J$1201,J1058)&gt;1,"DUPLICATE","Unique")</f>
        <v/>
      </c>
      <c r="Q1058" s="4">
        <f>IF(TRIM(Raw_Data!L1058)="","Yes","No")</f>
        <v/>
      </c>
      <c r="R1058" s="4">
        <f>IF(ISNUMBER(B1058),"Valid","INVALID")</f>
        <v/>
      </c>
    </row>
    <row r="1059">
      <c r="A1059" s="4">
        <f>TRIM(Raw_Data!A1059)</f>
        <v/>
      </c>
      <c r="B1059" s="5">
        <f>Raw_Data!B1059</f>
        <v/>
      </c>
      <c r="C1059" s="4">
        <f>TRIM(Raw_Data!C1059)</f>
        <v/>
      </c>
      <c r="D1059" s="4">
        <f>PROPER(TRIM(Raw_Data!D1059))</f>
        <v/>
      </c>
      <c r="E1059" s="4">
        <f>Raw_Data!E1059</f>
        <v/>
      </c>
      <c r="F1059" s="6">
        <f>ROUND(Raw_Data!F1059,2)</f>
        <v/>
      </c>
      <c r="G1059" s="4">
        <f>PROPER(TRIM(Raw_Data!G1059))</f>
        <v/>
      </c>
      <c r="H1059" s="4">
        <f>PROPER(TRIM(Raw_Data!H1059))</f>
        <v/>
      </c>
      <c r="I1059" s="4">
        <f>PROPER(TRIM(Raw_Data!I1059))</f>
        <v/>
      </c>
      <c r="J1059" s="4">
        <f>TRIM(Raw_Data!J1059)</f>
        <v/>
      </c>
      <c r="K1059" s="4">
        <f>Raw_Data!K1059</f>
        <v/>
      </c>
      <c r="L1059" s="4">
        <f>IF(TRIM(Raw_Data!L1059)="","No Coupon",TRIM(Raw_Data!L1059))</f>
        <v/>
      </c>
      <c r="M1059" s="4">
        <f>PROPER(TRIM(Raw_Data!M1059))</f>
        <v/>
      </c>
      <c r="N1059" s="6">
        <f>ROUND(Raw_Data!N1059,2)</f>
        <v/>
      </c>
      <c r="O1059" s="7">
        <f>IF(COUNTIF($A$2:$A$1201,A1059)&gt;1,"DUPLICATE","Unique")</f>
        <v/>
      </c>
      <c r="P1059" s="7">
        <f>IF(COUNTIF($J$2:$J$1201,J1059)&gt;1,"DUPLICATE","Unique")</f>
        <v/>
      </c>
      <c r="Q1059" s="4">
        <f>IF(TRIM(Raw_Data!L1059)="","Yes","No")</f>
        <v/>
      </c>
      <c r="R1059" s="4">
        <f>IF(ISNUMBER(B1059),"Valid","INVALID")</f>
        <v/>
      </c>
    </row>
    <row r="1060">
      <c r="A1060" s="4">
        <f>TRIM(Raw_Data!A1060)</f>
        <v/>
      </c>
      <c r="B1060" s="5">
        <f>Raw_Data!B1060</f>
        <v/>
      </c>
      <c r="C1060" s="4">
        <f>TRIM(Raw_Data!C1060)</f>
        <v/>
      </c>
      <c r="D1060" s="4">
        <f>PROPER(TRIM(Raw_Data!D1060))</f>
        <v/>
      </c>
      <c r="E1060" s="4">
        <f>Raw_Data!E1060</f>
        <v/>
      </c>
      <c r="F1060" s="6">
        <f>ROUND(Raw_Data!F1060,2)</f>
        <v/>
      </c>
      <c r="G1060" s="4">
        <f>PROPER(TRIM(Raw_Data!G1060))</f>
        <v/>
      </c>
      <c r="H1060" s="4">
        <f>PROPER(TRIM(Raw_Data!H1060))</f>
        <v/>
      </c>
      <c r="I1060" s="4">
        <f>PROPER(TRIM(Raw_Data!I1060))</f>
        <v/>
      </c>
      <c r="J1060" s="4">
        <f>TRIM(Raw_Data!J1060)</f>
        <v/>
      </c>
      <c r="K1060" s="4">
        <f>Raw_Data!K1060</f>
        <v/>
      </c>
      <c r="L1060" s="4">
        <f>IF(TRIM(Raw_Data!L1060)="","No Coupon",TRIM(Raw_Data!L1060))</f>
        <v/>
      </c>
      <c r="M1060" s="4">
        <f>PROPER(TRIM(Raw_Data!M1060))</f>
        <v/>
      </c>
      <c r="N1060" s="6">
        <f>ROUND(Raw_Data!N1060,2)</f>
        <v/>
      </c>
      <c r="O1060" s="7">
        <f>IF(COUNTIF($A$2:$A$1201,A1060)&gt;1,"DUPLICATE","Unique")</f>
        <v/>
      </c>
      <c r="P1060" s="7">
        <f>IF(COUNTIF($J$2:$J$1201,J1060)&gt;1,"DUPLICATE","Unique")</f>
        <v/>
      </c>
      <c r="Q1060" s="4">
        <f>IF(TRIM(Raw_Data!L1060)="","Yes","No")</f>
        <v/>
      </c>
      <c r="R1060" s="4">
        <f>IF(ISNUMBER(B1060),"Valid","INVALID")</f>
        <v/>
      </c>
    </row>
    <row r="1061">
      <c r="A1061" s="4">
        <f>TRIM(Raw_Data!A1061)</f>
        <v/>
      </c>
      <c r="B1061" s="5">
        <f>Raw_Data!B1061</f>
        <v/>
      </c>
      <c r="C1061" s="4">
        <f>TRIM(Raw_Data!C1061)</f>
        <v/>
      </c>
      <c r="D1061" s="4">
        <f>PROPER(TRIM(Raw_Data!D1061))</f>
        <v/>
      </c>
      <c r="E1061" s="4">
        <f>Raw_Data!E1061</f>
        <v/>
      </c>
      <c r="F1061" s="6">
        <f>ROUND(Raw_Data!F1061,2)</f>
        <v/>
      </c>
      <c r="G1061" s="4">
        <f>PROPER(TRIM(Raw_Data!G1061))</f>
        <v/>
      </c>
      <c r="H1061" s="4">
        <f>PROPER(TRIM(Raw_Data!H1061))</f>
        <v/>
      </c>
      <c r="I1061" s="4">
        <f>PROPER(TRIM(Raw_Data!I1061))</f>
        <v/>
      </c>
      <c r="J1061" s="4">
        <f>TRIM(Raw_Data!J1061)</f>
        <v/>
      </c>
      <c r="K1061" s="4">
        <f>Raw_Data!K1061</f>
        <v/>
      </c>
      <c r="L1061" s="4">
        <f>IF(TRIM(Raw_Data!L1061)="","No Coupon",TRIM(Raw_Data!L1061))</f>
        <v/>
      </c>
      <c r="M1061" s="4">
        <f>PROPER(TRIM(Raw_Data!M1061))</f>
        <v/>
      </c>
      <c r="N1061" s="6">
        <f>ROUND(Raw_Data!N1061,2)</f>
        <v/>
      </c>
      <c r="O1061" s="7">
        <f>IF(COUNTIF($A$2:$A$1201,A1061)&gt;1,"DUPLICATE","Unique")</f>
        <v/>
      </c>
      <c r="P1061" s="7">
        <f>IF(COUNTIF($J$2:$J$1201,J1061)&gt;1,"DUPLICATE","Unique")</f>
        <v/>
      </c>
      <c r="Q1061" s="4">
        <f>IF(TRIM(Raw_Data!L1061)="","Yes","No")</f>
        <v/>
      </c>
      <c r="R1061" s="4">
        <f>IF(ISNUMBER(B1061),"Valid","INVALID")</f>
        <v/>
      </c>
    </row>
    <row r="1062">
      <c r="A1062" s="4">
        <f>TRIM(Raw_Data!A1062)</f>
        <v/>
      </c>
      <c r="B1062" s="5">
        <f>Raw_Data!B1062</f>
        <v/>
      </c>
      <c r="C1062" s="4">
        <f>TRIM(Raw_Data!C1062)</f>
        <v/>
      </c>
      <c r="D1062" s="4">
        <f>PROPER(TRIM(Raw_Data!D1062))</f>
        <v/>
      </c>
      <c r="E1062" s="4">
        <f>Raw_Data!E1062</f>
        <v/>
      </c>
      <c r="F1062" s="6">
        <f>ROUND(Raw_Data!F1062,2)</f>
        <v/>
      </c>
      <c r="G1062" s="4">
        <f>PROPER(TRIM(Raw_Data!G1062))</f>
        <v/>
      </c>
      <c r="H1062" s="4">
        <f>PROPER(TRIM(Raw_Data!H1062))</f>
        <v/>
      </c>
      <c r="I1062" s="4">
        <f>PROPER(TRIM(Raw_Data!I1062))</f>
        <v/>
      </c>
      <c r="J1062" s="4">
        <f>TRIM(Raw_Data!J1062)</f>
        <v/>
      </c>
      <c r="K1062" s="4">
        <f>Raw_Data!K1062</f>
        <v/>
      </c>
      <c r="L1062" s="4">
        <f>IF(TRIM(Raw_Data!L1062)="","No Coupon",TRIM(Raw_Data!L1062))</f>
        <v/>
      </c>
      <c r="M1062" s="4">
        <f>PROPER(TRIM(Raw_Data!M1062))</f>
        <v/>
      </c>
      <c r="N1062" s="6">
        <f>ROUND(Raw_Data!N1062,2)</f>
        <v/>
      </c>
      <c r="O1062" s="7">
        <f>IF(COUNTIF($A$2:$A$1201,A1062)&gt;1,"DUPLICATE","Unique")</f>
        <v/>
      </c>
      <c r="P1062" s="7">
        <f>IF(COUNTIF($J$2:$J$1201,J1062)&gt;1,"DUPLICATE","Unique")</f>
        <v/>
      </c>
      <c r="Q1062" s="4">
        <f>IF(TRIM(Raw_Data!L1062)="","Yes","No")</f>
        <v/>
      </c>
      <c r="R1062" s="4">
        <f>IF(ISNUMBER(B1062),"Valid","INVALID")</f>
        <v/>
      </c>
    </row>
    <row r="1063">
      <c r="A1063" s="4">
        <f>TRIM(Raw_Data!A1063)</f>
        <v/>
      </c>
      <c r="B1063" s="5">
        <f>Raw_Data!B1063</f>
        <v/>
      </c>
      <c r="C1063" s="4">
        <f>TRIM(Raw_Data!C1063)</f>
        <v/>
      </c>
      <c r="D1063" s="4">
        <f>PROPER(TRIM(Raw_Data!D1063))</f>
        <v/>
      </c>
      <c r="E1063" s="4">
        <f>Raw_Data!E1063</f>
        <v/>
      </c>
      <c r="F1063" s="6">
        <f>ROUND(Raw_Data!F1063,2)</f>
        <v/>
      </c>
      <c r="G1063" s="4">
        <f>PROPER(TRIM(Raw_Data!G1063))</f>
        <v/>
      </c>
      <c r="H1063" s="4">
        <f>PROPER(TRIM(Raw_Data!H1063))</f>
        <v/>
      </c>
      <c r="I1063" s="4">
        <f>PROPER(TRIM(Raw_Data!I1063))</f>
        <v/>
      </c>
      <c r="J1063" s="4">
        <f>TRIM(Raw_Data!J1063)</f>
        <v/>
      </c>
      <c r="K1063" s="4">
        <f>Raw_Data!K1063</f>
        <v/>
      </c>
      <c r="L1063" s="4">
        <f>IF(TRIM(Raw_Data!L1063)="","No Coupon",TRIM(Raw_Data!L1063))</f>
        <v/>
      </c>
      <c r="M1063" s="4">
        <f>PROPER(TRIM(Raw_Data!M1063))</f>
        <v/>
      </c>
      <c r="N1063" s="6">
        <f>ROUND(Raw_Data!N1063,2)</f>
        <v/>
      </c>
      <c r="O1063" s="7">
        <f>IF(COUNTIF($A$2:$A$1201,A1063)&gt;1,"DUPLICATE","Unique")</f>
        <v/>
      </c>
      <c r="P1063" s="7">
        <f>IF(COUNTIF($J$2:$J$1201,J1063)&gt;1,"DUPLICATE","Unique")</f>
        <v/>
      </c>
      <c r="Q1063" s="4">
        <f>IF(TRIM(Raw_Data!L1063)="","Yes","No")</f>
        <v/>
      </c>
      <c r="R1063" s="4">
        <f>IF(ISNUMBER(B1063),"Valid","INVALID")</f>
        <v/>
      </c>
    </row>
    <row r="1064">
      <c r="A1064" s="4">
        <f>TRIM(Raw_Data!A1064)</f>
        <v/>
      </c>
      <c r="B1064" s="5">
        <f>Raw_Data!B1064</f>
        <v/>
      </c>
      <c r="C1064" s="4">
        <f>TRIM(Raw_Data!C1064)</f>
        <v/>
      </c>
      <c r="D1064" s="4">
        <f>PROPER(TRIM(Raw_Data!D1064))</f>
        <v/>
      </c>
      <c r="E1064" s="4">
        <f>Raw_Data!E1064</f>
        <v/>
      </c>
      <c r="F1064" s="6">
        <f>ROUND(Raw_Data!F1064,2)</f>
        <v/>
      </c>
      <c r="G1064" s="4">
        <f>PROPER(TRIM(Raw_Data!G1064))</f>
        <v/>
      </c>
      <c r="H1064" s="4">
        <f>PROPER(TRIM(Raw_Data!H1064))</f>
        <v/>
      </c>
      <c r="I1064" s="4">
        <f>PROPER(TRIM(Raw_Data!I1064))</f>
        <v/>
      </c>
      <c r="J1064" s="4">
        <f>TRIM(Raw_Data!J1064)</f>
        <v/>
      </c>
      <c r="K1064" s="4">
        <f>Raw_Data!K1064</f>
        <v/>
      </c>
      <c r="L1064" s="4">
        <f>IF(TRIM(Raw_Data!L1064)="","No Coupon",TRIM(Raw_Data!L1064))</f>
        <v/>
      </c>
      <c r="M1064" s="4">
        <f>PROPER(TRIM(Raw_Data!M1064))</f>
        <v/>
      </c>
      <c r="N1064" s="6">
        <f>ROUND(Raw_Data!N1064,2)</f>
        <v/>
      </c>
      <c r="O1064" s="7">
        <f>IF(COUNTIF($A$2:$A$1201,A1064)&gt;1,"DUPLICATE","Unique")</f>
        <v/>
      </c>
      <c r="P1064" s="7">
        <f>IF(COUNTIF($J$2:$J$1201,J1064)&gt;1,"DUPLICATE","Unique")</f>
        <v/>
      </c>
      <c r="Q1064" s="4">
        <f>IF(TRIM(Raw_Data!L1064)="","Yes","No")</f>
        <v/>
      </c>
      <c r="R1064" s="4">
        <f>IF(ISNUMBER(B1064),"Valid","INVALID")</f>
        <v/>
      </c>
    </row>
    <row r="1065">
      <c r="A1065" s="4">
        <f>TRIM(Raw_Data!A1065)</f>
        <v/>
      </c>
      <c r="B1065" s="5">
        <f>Raw_Data!B1065</f>
        <v/>
      </c>
      <c r="C1065" s="4">
        <f>TRIM(Raw_Data!C1065)</f>
        <v/>
      </c>
      <c r="D1065" s="4">
        <f>PROPER(TRIM(Raw_Data!D1065))</f>
        <v/>
      </c>
      <c r="E1065" s="4">
        <f>Raw_Data!E1065</f>
        <v/>
      </c>
      <c r="F1065" s="6">
        <f>ROUND(Raw_Data!F1065,2)</f>
        <v/>
      </c>
      <c r="G1065" s="4">
        <f>PROPER(TRIM(Raw_Data!G1065))</f>
        <v/>
      </c>
      <c r="H1065" s="4">
        <f>PROPER(TRIM(Raw_Data!H1065))</f>
        <v/>
      </c>
      <c r="I1065" s="4">
        <f>PROPER(TRIM(Raw_Data!I1065))</f>
        <v/>
      </c>
      <c r="J1065" s="4">
        <f>TRIM(Raw_Data!J1065)</f>
        <v/>
      </c>
      <c r="K1065" s="4">
        <f>Raw_Data!K1065</f>
        <v/>
      </c>
      <c r="L1065" s="4">
        <f>IF(TRIM(Raw_Data!L1065)="","No Coupon",TRIM(Raw_Data!L1065))</f>
        <v/>
      </c>
      <c r="M1065" s="4">
        <f>PROPER(TRIM(Raw_Data!M1065))</f>
        <v/>
      </c>
      <c r="N1065" s="6">
        <f>ROUND(Raw_Data!N1065,2)</f>
        <v/>
      </c>
      <c r="O1065" s="7">
        <f>IF(COUNTIF($A$2:$A$1201,A1065)&gt;1,"DUPLICATE","Unique")</f>
        <v/>
      </c>
      <c r="P1065" s="7">
        <f>IF(COUNTIF($J$2:$J$1201,J1065)&gt;1,"DUPLICATE","Unique")</f>
        <v/>
      </c>
      <c r="Q1065" s="4">
        <f>IF(TRIM(Raw_Data!L1065)="","Yes","No")</f>
        <v/>
      </c>
      <c r="R1065" s="4">
        <f>IF(ISNUMBER(B1065),"Valid","INVALID")</f>
        <v/>
      </c>
    </row>
    <row r="1066">
      <c r="A1066" s="4">
        <f>TRIM(Raw_Data!A1066)</f>
        <v/>
      </c>
      <c r="B1066" s="5">
        <f>Raw_Data!B1066</f>
        <v/>
      </c>
      <c r="C1066" s="4">
        <f>TRIM(Raw_Data!C1066)</f>
        <v/>
      </c>
      <c r="D1066" s="4">
        <f>PROPER(TRIM(Raw_Data!D1066))</f>
        <v/>
      </c>
      <c r="E1066" s="4">
        <f>Raw_Data!E1066</f>
        <v/>
      </c>
      <c r="F1066" s="6">
        <f>ROUND(Raw_Data!F1066,2)</f>
        <v/>
      </c>
      <c r="G1066" s="4">
        <f>PROPER(TRIM(Raw_Data!G1066))</f>
        <v/>
      </c>
      <c r="H1066" s="4">
        <f>PROPER(TRIM(Raw_Data!H1066))</f>
        <v/>
      </c>
      <c r="I1066" s="4">
        <f>PROPER(TRIM(Raw_Data!I1066))</f>
        <v/>
      </c>
      <c r="J1066" s="4">
        <f>TRIM(Raw_Data!J1066)</f>
        <v/>
      </c>
      <c r="K1066" s="4">
        <f>Raw_Data!K1066</f>
        <v/>
      </c>
      <c r="L1066" s="4">
        <f>IF(TRIM(Raw_Data!L1066)="","No Coupon",TRIM(Raw_Data!L1066))</f>
        <v/>
      </c>
      <c r="M1066" s="4">
        <f>PROPER(TRIM(Raw_Data!M1066))</f>
        <v/>
      </c>
      <c r="N1066" s="6">
        <f>ROUND(Raw_Data!N1066,2)</f>
        <v/>
      </c>
      <c r="O1066" s="7">
        <f>IF(COUNTIF($A$2:$A$1201,A1066)&gt;1,"DUPLICATE","Unique")</f>
        <v/>
      </c>
      <c r="P1066" s="7">
        <f>IF(COUNTIF($J$2:$J$1201,J1066)&gt;1,"DUPLICATE","Unique")</f>
        <v/>
      </c>
      <c r="Q1066" s="4">
        <f>IF(TRIM(Raw_Data!L1066)="","Yes","No")</f>
        <v/>
      </c>
      <c r="R1066" s="4">
        <f>IF(ISNUMBER(B1066),"Valid","INVALID")</f>
        <v/>
      </c>
    </row>
    <row r="1067">
      <c r="A1067" s="4">
        <f>TRIM(Raw_Data!A1067)</f>
        <v/>
      </c>
      <c r="B1067" s="5">
        <f>Raw_Data!B1067</f>
        <v/>
      </c>
      <c r="C1067" s="4">
        <f>TRIM(Raw_Data!C1067)</f>
        <v/>
      </c>
      <c r="D1067" s="4">
        <f>PROPER(TRIM(Raw_Data!D1067))</f>
        <v/>
      </c>
      <c r="E1067" s="4">
        <f>Raw_Data!E1067</f>
        <v/>
      </c>
      <c r="F1067" s="6">
        <f>ROUND(Raw_Data!F1067,2)</f>
        <v/>
      </c>
      <c r="G1067" s="4">
        <f>PROPER(TRIM(Raw_Data!G1067))</f>
        <v/>
      </c>
      <c r="H1067" s="4">
        <f>PROPER(TRIM(Raw_Data!H1067))</f>
        <v/>
      </c>
      <c r="I1067" s="4">
        <f>PROPER(TRIM(Raw_Data!I1067))</f>
        <v/>
      </c>
      <c r="J1067" s="4">
        <f>TRIM(Raw_Data!J1067)</f>
        <v/>
      </c>
      <c r="K1067" s="4">
        <f>Raw_Data!K1067</f>
        <v/>
      </c>
      <c r="L1067" s="4">
        <f>IF(TRIM(Raw_Data!L1067)="","No Coupon",TRIM(Raw_Data!L1067))</f>
        <v/>
      </c>
      <c r="M1067" s="4">
        <f>PROPER(TRIM(Raw_Data!M1067))</f>
        <v/>
      </c>
      <c r="N1067" s="6">
        <f>ROUND(Raw_Data!N1067,2)</f>
        <v/>
      </c>
      <c r="O1067" s="7">
        <f>IF(COUNTIF($A$2:$A$1201,A1067)&gt;1,"DUPLICATE","Unique")</f>
        <v/>
      </c>
      <c r="P1067" s="7">
        <f>IF(COUNTIF($J$2:$J$1201,J1067)&gt;1,"DUPLICATE","Unique")</f>
        <v/>
      </c>
      <c r="Q1067" s="4">
        <f>IF(TRIM(Raw_Data!L1067)="","Yes","No")</f>
        <v/>
      </c>
      <c r="R1067" s="4">
        <f>IF(ISNUMBER(B1067),"Valid","INVALID")</f>
        <v/>
      </c>
    </row>
    <row r="1068">
      <c r="A1068" s="4">
        <f>TRIM(Raw_Data!A1068)</f>
        <v/>
      </c>
      <c r="B1068" s="5">
        <f>Raw_Data!B1068</f>
        <v/>
      </c>
      <c r="C1068" s="4">
        <f>TRIM(Raw_Data!C1068)</f>
        <v/>
      </c>
      <c r="D1068" s="4">
        <f>PROPER(TRIM(Raw_Data!D1068))</f>
        <v/>
      </c>
      <c r="E1068" s="4">
        <f>Raw_Data!E1068</f>
        <v/>
      </c>
      <c r="F1068" s="6">
        <f>ROUND(Raw_Data!F1068,2)</f>
        <v/>
      </c>
      <c r="G1068" s="4">
        <f>PROPER(TRIM(Raw_Data!G1068))</f>
        <v/>
      </c>
      <c r="H1068" s="4">
        <f>PROPER(TRIM(Raw_Data!H1068))</f>
        <v/>
      </c>
      <c r="I1068" s="4">
        <f>PROPER(TRIM(Raw_Data!I1068))</f>
        <v/>
      </c>
      <c r="J1068" s="4">
        <f>TRIM(Raw_Data!J1068)</f>
        <v/>
      </c>
      <c r="K1068" s="4">
        <f>Raw_Data!K1068</f>
        <v/>
      </c>
      <c r="L1068" s="4">
        <f>IF(TRIM(Raw_Data!L1068)="","No Coupon",TRIM(Raw_Data!L1068))</f>
        <v/>
      </c>
      <c r="M1068" s="4">
        <f>PROPER(TRIM(Raw_Data!M1068))</f>
        <v/>
      </c>
      <c r="N1068" s="6">
        <f>ROUND(Raw_Data!N1068,2)</f>
        <v/>
      </c>
      <c r="O1068" s="7">
        <f>IF(COUNTIF($A$2:$A$1201,A1068)&gt;1,"DUPLICATE","Unique")</f>
        <v/>
      </c>
      <c r="P1068" s="7">
        <f>IF(COUNTIF($J$2:$J$1201,J1068)&gt;1,"DUPLICATE","Unique")</f>
        <v/>
      </c>
      <c r="Q1068" s="4">
        <f>IF(TRIM(Raw_Data!L1068)="","Yes","No")</f>
        <v/>
      </c>
      <c r="R1068" s="4">
        <f>IF(ISNUMBER(B1068),"Valid","INVALID")</f>
        <v/>
      </c>
    </row>
    <row r="1069">
      <c r="A1069" s="4">
        <f>TRIM(Raw_Data!A1069)</f>
        <v/>
      </c>
      <c r="B1069" s="5">
        <f>Raw_Data!B1069</f>
        <v/>
      </c>
      <c r="C1069" s="4">
        <f>TRIM(Raw_Data!C1069)</f>
        <v/>
      </c>
      <c r="D1069" s="4">
        <f>PROPER(TRIM(Raw_Data!D1069))</f>
        <v/>
      </c>
      <c r="E1069" s="4">
        <f>Raw_Data!E1069</f>
        <v/>
      </c>
      <c r="F1069" s="6">
        <f>ROUND(Raw_Data!F1069,2)</f>
        <v/>
      </c>
      <c r="G1069" s="4">
        <f>PROPER(TRIM(Raw_Data!G1069))</f>
        <v/>
      </c>
      <c r="H1069" s="4">
        <f>PROPER(TRIM(Raw_Data!H1069))</f>
        <v/>
      </c>
      <c r="I1069" s="4">
        <f>PROPER(TRIM(Raw_Data!I1069))</f>
        <v/>
      </c>
      <c r="J1069" s="4">
        <f>TRIM(Raw_Data!J1069)</f>
        <v/>
      </c>
      <c r="K1069" s="4">
        <f>Raw_Data!K1069</f>
        <v/>
      </c>
      <c r="L1069" s="4">
        <f>IF(TRIM(Raw_Data!L1069)="","No Coupon",TRIM(Raw_Data!L1069))</f>
        <v/>
      </c>
      <c r="M1069" s="4">
        <f>PROPER(TRIM(Raw_Data!M1069))</f>
        <v/>
      </c>
      <c r="N1069" s="6">
        <f>ROUND(Raw_Data!N1069,2)</f>
        <v/>
      </c>
      <c r="O1069" s="7">
        <f>IF(COUNTIF($A$2:$A$1201,A1069)&gt;1,"DUPLICATE","Unique")</f>
        <v/>
      </c>
      <c r="P1069" s="7">
        <f>IF(COUNTIF($J$2:$J$1201,J1069)&gt;1,"DUPLICATE","Unique")</f>
        <v/>
      </c>
      <c r="Q1069" s="4">
        <f>IF(TRIM(Raw_Data!L1069)="","Yes","No")</f>
        <v/>
      </c>
      <c r="R1069" s="4">
        <f>IF(ISNUMBER(B1069),"Valid","INVALID")</f>
        <v/>
      </c>
    </row>
    <row r="1070">
      <c r="A1070" s="4">
        <f>TRIM(Raw_Data!A1070)</f>
        <v/>
      </c>
      <c r="B1070" s="5">
        <f>Raw_Data!B1070</f>
        <v/>
      </c>
      <c r="C1070" s="4">
        <f>TRIM(Raw_Data!C1070)</f>
        <v/>
      </c>
      <c r="D1070" s="4">
        <f>PROPER(TRIM(Raw_Data!D1070))</f>
        <v/>
      </c>
      <c r="E1070" s="4">
        <f>Raw_Data!E1070</f>
        <v/>
      </c>
      <c r="F1070" s="6">
        <f>ROUND(Raw_Data!F1070,2)</f>
        <v/>
      </c>
      <c r="G1070" s="4">
        <f>PROPER(TRIM(Raw_Data!G1070))</f>
        <v/>
      </c>
      <c r="H1070" s="4">
        <f>PROPER(TRIM(Raw_Data!H1070))</f>
        <v/>
      </c>
      <c r="I1070" s="4">
        <f>PROPER(TRIM(Raw_Data!I1070))</f>
        <v/>
      </c>
      <c r="J1070" s="4">
        <f>TRIM(Raw_Data!J1070)</f>
        <v/>
      </c>
      <c r="K1070" s="4">
        <f>Raw_Data!K1070</f>
        <v/>
      </c>
      <c r="L1070" s="4">
        <f>IF(TRIM(Raw_Data!L1070)="","No Coupon",TRIM(Raw_Data!L1070))</f>
        <v/>
      </c>
      <c r="M1070" s="4">
        <f>PROPER(TRIM(Raw_Data!M1070))</f>
        <v/>
      </c>
      <c r="N1070" s="6">
        <f>ROUND(Raw_Data!N1070,2)</f>
        <v/>
      </c>
      <c r="O1070" s="7">
        <f>IF(COUNTIF($A$2:$A$1201,A1070)&gt;1,"DUPLICATE","Unique")</f>
        <v/>
      </c>
      <c r="P1070" s="7">
        <f>IF(COUNTIF($J$2:$J$1201,J1070)&gt;1,"DUPLICATE","Unique")</f>
        <v/>
      </c>
      <c r="Q1070" s="4">
        <f>IF(TRIM(Raw_Data!L1070)="","Yes","No")</f>
        <v/>
      </c>
      <c r="R1070" s="4">
        <f>IF(ISNUMBER(B1070),"Valid","INVALID")</f>
        <v/>
      </c>
    </row>
    <row r="1071">
      <c r="A1071" s="4">
        <f>TRIM(Raw_Data!A1071)</f>
        <v/>
      </c>
      <c r="B1071" s="5">
        <f>Raw_Data!B1071</f>
        <v/>
      </c>
      <c r="C1071" s="4">
        <f>TRIM(Raw_Data!C1071)</f>
        <v/>
      </c>
      <c r="D1071" s="4">
        <f>PROPER(TRIM(Raw_Data!D1071))</f>
        <v/>
      </c>
      <c r="E1071" s="4">
        <f>Raw_Data!E1071</f>
        <v/>
      </c>
      <c r="F1071" s="6">
        <f>ROUND(Raw_Data!F1071,2)</f>
        <v/>
      </c>
      <c r="G1071" s="4">
        <f>PROPER(TRIM(Raw_Data!G1071))</f>
        <v/>
      </c>
      <c r="H1071" s="4">
        <f>PROPER(TRIM(Raw_Data!H1071))</f>
        <v/>
      </c>
      <c r="I1071" s="4">
        <f>PROPER(TRIM(Raw_Data!I1071))</f>
        <v/>
      </c>
      <c r="J1071" s="4">
        <f>TRIM(Raw_Data!J1071)</f>
        <v/>
      </c>
      <c r="K1071" s="4">
        <f>Raw_Data!K1071</f>
        <v/>
      </c>
      <c r="L1071" s="4">
        <f>IF(TRIM(Raw_Data!L1071)="","No Coupon",TRIM(Raw_Data!L1071))</f>
        <v/>
      </c>
      <c r="M1071" s="4">
        <f>PROPER(TRIM(Raw_Data!M1071))</f>
        <v/>
      </c>
      <c r="N1071" s="6">
        <f>ROUND(Raw_Data!N1071,2)</f>
        <v/>
      </c>
      <c r="O1071" s="7">
        <f>IF(COUNTIF($A$2:$A$1201,A1071)&gt;1,"DUPLICATE","Unique")</f>
        <v/>
      </c>
      <c r="P1071" s="7">
        <f>IF(COUNTIF($J$2:$J$1201,J1071)&gt;1,"DUPLICATE","Unique")</f>
        <v/>
      </c>
      <c r="Q1071" s="4">
        <f>IF(TRIM(Raw_Data!L1071)="","Yes","No")</f>
        <v/>
      </c>
      <c r="R1071" s="4">
        <f>IF(ISNUMBER(B1071),"Valid","INVALID")</f>
        <v/>
      </c>
    </row>
    <row r="1072">
      <c r="A1072" s="4">
        <f>TRIM(Raw_Data!A1072)</f>
        <v/>
      </c>
      <c r="B1072" s="5">
        <f>Raw_Data!B1072</f>
        <v/>
      </c>
      <c r="C1072" s="4">
        <f>TRIM(Raw_Data!C1072)</f>
        <v/>
      </c>
      <c r="D1072" s="4">
        <f>PROPER(TRIM(Raw_Data!D1072))</f>
        <v/>
      </c>
      <c r="E1072" s="4">
        <f>Raw_Data!E1072</f>
        <v/>
      </c>
      <c r="F1072" s="6">
        <f>ROUND(Raw_Data!F1072,2)</f>
        <v/>
      </c>
      <c r="G1072" s="4">
        <f>PROPER(TRIM(Raw_Data!G1072))</f>
        <v/>
      </c>
      <c r="H1072" s="4">
        <f>PROPER(TRIM(Raw_Data!H1072))</f>
        <v/>
      </c>
      <c r="I1072" s="4">
        <f>PROPER(TRIM(Raw_Data!I1072))</f>
        <v/>
      </c>
      <c r="J1072" s="4">
        <f>TRIM(Raw_Data!J1072)</f>
        <v/>
      </c>
      <c r="K1072" s="4">
        <f>Raw_Data!K1072</f>
        <v/>
      </c>
      <c r="L1072" s="4">
        <f>IF(TRIM(Raw_Data!L1072)="","No Coupon",TRIM(Raw_Data!L1072))</f>
        <v/>
      </c>
      <c r="M1072" s="4">
        <f>PROPER(TRIM(Raw_Data!M1072))</f>
        <v/>
      </c>
      <c r="N1072" s="6">
        <f>ROUND(Raw_Data!N1072,2)</f>
        <v/>
      </c>
      <c r="O1072" s="7">
        <f>IF(COUNTIF($A$2:$A$1201,A1072)&gt;1,"DUPLICATE","Unique")</f>
        <v/>
      </c>
      <c r="P1072" s="7">
        <f>IF(COUNTIF($J$2:$J$1201,J1072)&gt;1,"DUPLICATE","Unique")</f>
        <v/>
      </c>
      <c r="Q1072" s="4">
        <f>IF(TRIM(Raw_Data!L1072)="","Yes","No")</f>
        <v/>
      </c>
      <c r="R1072" s="4">
        <f>IF(ISNUMBER(B1072),"Valid","INVALID")</f>
        <v/>
      </c>
    </row>
    <row r="1073">
      <c r="A1073" s="4">
        <f>TRIM(Raw_Data!A1073)</f>
        <v/>
      </c>
      <c r="B1073" s="5">
        <f>Raw_Data!B1073</f>
        <v/>
      </c>
      <c r="C1073" s="4">
        <f>TRIM(Raw_Data!C1073)</f>
        <v/>
      </c>
      <c r="D1073" s="4">
        <f>PROPER(TRIM(Raw_Data!D1073))</f>
        <v/>
      </c>
      <c r="E1073" s="4">
        <f>Raw_Data!E1073</f>
        <v/>
      </c>
      <c r="F1073" s="6">
        <f>ROUND(Raw_Data!F1073,2)</f>
        <v/>
      </c>
      <c r="G1073" s="4">
        <f>PROPER(TRIM(Raw_Data!G1073))</f>
        <v/>
      </c>
      <c r="H1073" s="4">
        <f>PROPER(TRIM(Raw_Data!H1073))</f>
        <v/>
      </c>
      <c r="I1073" s="4">
        <f>PROPER(TRIM(Raw_Data!I1073))</f>
        <v/>
      </c>
      <c r="J1073" s="4">
        <f>TRIM(Raw_Data!J1073)</f>
        <v/>
      </c>
      <c r="K1073" s="4">
        <f>Raw_Data!K1073</f>
        <v/>
      </c>
      <c r="L1073" s="4">
        <f>IF(TRIM(Raw_Data!L1073)="","No Coupon",TRIM(Raw_Data!L1073))</f>
        <v/>
      </c>
      <c r="M1073" s="4">
        <f>PROPER(TRIM(Raw_Data!M1073))</f>
        <v/>
      </c>
      <c r="N1073" s="6">
        <f>ROUND(Raw_Data!N1073,2)</f>
        <v/>
      </c>
      <c r="O1073" s="7">
        <f>IF(COUNTIF($A$2:$A$1201,A1073)&gt;1,"DUPLICATE","Unique")</f>
        <v/>
      </c>
      <c r="P1073" s="7">
        <f>IF(COUNTIF($J$2:$J$1201,J1073)&gt;1,"DUPLICATE","Unique")</f>
        <v/>
      </c>
      <c r="Q1073" s="4">
        <f>IF(TRIM(Raw_Data!L1073)="","Yes","No")</f>
        <v/>
      </c>
      <c r="R1073" s="4">
        <f>IF(ISNUMBER(B1073),"Valid","INVALID")</f>
        <v/>
      </c>
    </row>
    <row r="1074">
      <c r="A1074" s="4">
        <f>TRIM(Raw_Data!A1074)</f>
        <v/>
      </c>
      <c r="B1074" s="5">
        <f>Raw_Data!B1074</f>
        <v/>
      </c>
      <c r="C1074" s="4">
        <f>TRIM(Raw_Data!C1074)</f>
        <v/>
      </c>
      <c r="D1074" s="4">
        <f>PROPER(TRIM(Raw_Data!D1074))</f>
        <v/>
      </c>
      <c r="E1074" s="4">
        <f>Raw_Data!E1074</f>
        <v/>
      </c>
      <c r="F1074" s="6">
        <f>ROUND(Raw_Data!F1074,2)</f>
        <v/>
      </c>
      <c r="G1074" s="4">
        <f>PROPER(TRIM(Raw_Data!G1074))</f>
        <v/>
      </c>
      <c r="H1074" s="4">
        <f>PROPER(TRIM(Raw_Data!H1074))</f>
        <v/>
      </c>
      <c r="I1074" s="4">
        <f>PROPER(TRIM(Raw_Data!I1074))</f>
        <v/>
      </c>
      <c r="J1074" s="4">
        <f>TRIM(Raw_Data!J1074)</f>
        <v/>
      </c>
      <c r="K1074" s="4">
        <f>Raw_Data!K1074</f>
        <v/>
      </c>
      <c r="L1074" s="4">
        <f>IF(TRIM(Raw_Data!L1074)="","No Coupon",TRIM(Raw_Data!L1074))</f>
        <v/>
      </c>
      <c r="M1074" s="4">
        <f>PROPER(TRIM(Raw_Data!M1074))</f>
        <v/>
      </c>
      <c r="N1074" s="6">
        <f>ROUND(Raw_Data!N1074,2)</f>
        <v/>
      </c>
      <c r="O1074" s="7">
        <f>IF(COUNTIF($A$2:$A$1201,A1074)&gt;1,"DUPLICATE","Unique")</f>
        <v/>
      </c>
      <c r="P1074" s="7">
        <f>IF(COUNTIF($J$2:$J$1201,J1074)&gt;1,"DUPLICATE","Unique")</f>
        <v/>
      </c>
      <c r="Q1074" s="4">
        <f>IF(TRIM(Raw_Data!L1074)="","Yes","No")</f>
        <v/>
      </c>
      <c r="R1074" s="4">
        <f>IF(ISNUMBER(B1074),"Valid","INVALID")</f>
        <v/>
      </c>
    </row>
    <row r="1075">
      <c r="A1075" s="4">
        <f>TRIM(Raw_Data!A1075)</f>
        <v/>
      </c>
      <c r="B1075" s="5">
        <f>Raw_Data!B1075</f>
        <v/>
      </c>
      <c r="C1075" s="4">
        <f>TRIM(Raw_Data!C1075)</f>
        <v/>
      </c>
      <c r="D1075" s="4">
        <f>PROPER(TRIM(Raw_Data!D1075))</f>
        <v/>
      </c>
      <c r="E1075" s="4">
        <f>Raw_Data!E1075</f>
        <v/>
      </c>
      <c r="F1075" s="6">
        <f>ROUND(Raw_Data!F1075,2)</f>
        <v/>
      </c>
      <c r="G1075" s="4">
        <f>PROPER(TRIM(Raw_Data!G1075))</f>
        <v/>
      </c>
      <c r="H1075" s="4">
        <f>PROPER(TRIM(Raw_Data!H1075))</f>
        <v/>
      </c>
      <c r="I1075" s="4">
        <f>PROPER(TRIM(Raw_Data!I1075))</f>
        <v/>
      </c>
      <c r="J1075" s="4">
        <f>TRIM(Raw_Data!J1075)</f>
        <v/>
      </c>
      <c r="K1075" s="4">
        <f>Raw_Data!K1075</f>
        <v/>
      </c>
      <c r="L1075" s="4">
        <f>IF(TRIM(Raw_Data!L1075)="","No Coupon",TRIM(Raw_Data!L1075))</f>
        <v/>
      </c>
      <c r="M1075" s="4">
        <f>PROPER(TRIM(Raw_Data!M1075))</f>
        <v/>
      </c>
      <c r="N1075" s="6">
        <f>ROUND(Raw_Data!N1075,2)</f>
        <v/>
      </c>
      <c r="O1075" s="7">
        <f>IF(COUNTIF($A$2:$A$1201,A1075)&gt;1,"DUPLICATE","Unique")</f>
        <v/>
      </c>
      <c r="P1075" s="7">
        <f>IF(COUNTIF($J$2:$J$1201,J1075)&gt;1,"DUPLICATE","Unique")</f>
        <v/>
      </c>
      <c r="Q1075" s="4">
        <f>IF(TRIM(Raw_Data!L1075)="","Yes","No")</f>
        <v/>
      </c>
      <c r="R1075" s="4">
        <f>IF(ISNUMBER(B1075),"Valid","INVALID")</f>
        <v/>
      </c>
    </row>
    <row r="1076">
      <c r="A1076" s="4">
        <f>TRIM(Raw_Data!A1076)</f>
        <v/>
      </c>
      <c r="B1076" s="5">
        <f>Raw_Data!B1076</f>
        <v/>
      </c>
      <c r="C1076" s="4">
        <f>TRIM(Raw_Data!C1076)</f>
        <v/>
      </c>
      <c r="D1076" s="4">
        <f>PROPER(TRIM(Raw_Data!D1076))</f>
        <v/>
      </c>
      <c r="E1076" s="4">
        <f>Raw_Data!E1076</f>
        <v/>
      </c>
      <c r="F1076" s="6">
        <f>ROUND(Raw_Data!F1076,2)</f>
        <v/>
      </c>
      <c r="G1076" s="4">
        <f>PROPER(TRIM(Raw_Data!G1076))</f>
        <v/>
      </c>
      <c r="H1076" s="4">
        <f>PROPER(TRIM(Raw_Data!H1076))</f>
        <v/>
      </c>
      <c r="I1076" s="4">
        <f>PROPER(TRIM(Raw_Data!I1076))</f>
        <v/>
      </c>
      <c r="J1076" s="4">
        <f>TRIM(Raw_Data!J1076)</f>
        <v/>
      </c>
      <c r="K1076" s="4">
        <f>Raw_Data!K1076</f>
        <v/>
      </c>
      <c r="L1076" s="4">
        <f>IF(TRIM(Raw_Data!L1076)="","No Coupon",TRIM(Raw_Data!L1076))</f>
        <v/>
      </c>
      <c r="M1076" s="4">
        <f>PROPER(TRIM(Raw_Data!M1076))</f>
        <v/>
      </c>
      <c r="N1076" s="6">
        <f>ROUND(Raw_Data!N1076,2)</f>
        <v/>
      </c>
      <c r="O1076" s="7">
        <f>IF(COUNTIF($A$2:$A$1201,A1076)&gt;1,"DUPLICATE","Unique")</f>
        <v/>
      </c>
      <c r="P1076" s="7">
        <f>IF(COUNTIF($J$2:$J$1201,J1076)&gt;1,"DUPLICATE","Unique")</f>
        <v/>
      </c>
      <c r="Q1076" s="4">
        <f>IF(TRIM(Raw_Data!L1076)="","Yes","No")</f>
        <v/>
      </c>
      <c r="R1076" s="4">
        <f>IF(ISNUMBER(B1076),"Valid","INVALID")</f>
        <v/>
      </c>
    </row>
    <row r="1077">
      <c r="A1077" s="4">
        <f>TRIM(Raw_Data!A1077)</f>
        <v/>
      </c>
      <c r="B1077" s="5">
        <f>Raw_Data!B1077</f>
        <v/>
      </c>
      <c r="C1077" s="4">
        <f>TRIM(Raw_Data!C1077)</f>
        <v/>
      </c>
      <c r="D1077" s="4">
        <f>PROPER(TRIM(Raw_Data!D1077))</f>
        <v/>
      </c>
      <c r="E1077" s="4">
        <f>Raw_Data!E1077</f>
        <v/>
      </c>
      <c r="F1077" s="6">
        <f>ROUND(Raw_Data!F1077,2)</f>
        <v/>
      </c>
      <c r="G1077" s="4">
        <f>PROPER(TRIM(Raw_Data!G1077))</f>
        <v/>
      </c>
      <c r="H1077" s="4">
        <f>PROPER(TRIM(Raw_Data!H1077))</f>
        <v/>
      </c>
      <c r="I1077" s="4">
        <f>PROPER(TRIM(Raw_Data!I1077))</f>
        <v/>
      </c>
      <c r="J1077" s="4">
        <f>TRIM(Raw_Data!J1077)</f>
        <v/>
      </c>
      <c r="K1077" s="4">
        <f>Raw_Data!K1077</f>
        <v/>
      </c>
      <c r="L1077" s="4">
        <f>IF(TRIM(Raw_Data!L1077)="","No Coupon",TRIM(Raw_Data!L1077))</f>
        <v/>
      </c>
      <c r="M1077" s="4">
        <f>PROPER(TRIM(Raw_Data!M1077))</f>
        <v/>
      </c>
      <c r="N1077" s="6">
        <f>ROUND(Raw_Data!N1077,2)</f>
        <v/>
      </c>
      <c r="O1077" s="7">
        <f>IF(COUNTIF($A$2:$A$1201,A1077)&gt;1,"DUPLICATE","Unique")</f>
        <v/>
      </c>
      <c r="P1077" s="7">
        <f>IF(COUNTIF($J$2:$J$1201,J1077)&gt;1,"DUPLICATE","Unique")</f>
        <v/>
      </c>
      <c r="Q1077" s="4">
        <f>IF(TRIM(Raw_Data!L1077)="","Yes","No")</f>
        <v/>
      </c>
      <c r="R1077" s="4">
        <f>IF(ISNUMBER(B1077),"Valid","INVALID")</f>
        <v/>
      </c>
    </row>
    <row r="1078">
      <c r="A1078" s="4">
        <f>TRIM(Raw_Data!A1078)</f>
        <v/>
      </c>
      <c r="B1078" s="5">
        <f>Raw_Data!B1078</f>
        <v/>
      </c>
      <c r="C1078" s="4">
        <f>TRIM(Raw_Data!C1078)</f>
        <v/>
      </c>
      <c r="D1078" s="4">
        <f>PROPER(TRIM(Raw_Data!D1078))</f>
        <v/>
      </c>
      <c r="E1078" s="4">
        <f>Raw_Data!E1078</f>
        <v/>
      </c>
      <c r="F1078" s="6">
        <f>ROUND(Raw_Data!F1078,2)</f>
        <v/>
      </c>
      <c r="G1078" s="4">
        <f>PROPER(TRIM(Raw_Data!G1078))</f>
        <v/>
      </c>
      <c r="H1078" s="4">
        <f>PROPER(TRIM(Raw_Data!H1078))</f>
        <v/>
      </c>
      <c r="I1078" s="4">
        <f>PROPER(TRIM(Raw_Data!I1078))</f>
        <v/>
      </c>
      <c r="J1078" s="4">
        <f>TRIM(Raw_Data!J1078)</f>
        <v/>
      </c>
      <c r="K1078" s="4">
        <f>Raw_Data!K1078</f>
        <v/>
      </c>
      <c r="L1078" s="4">
        <f>IF(TRIM(Raw_Data!L1078)="","No Coupon",TRIM(Raw_Data!L1078))</f>
        <v/>
      </c>
      <c r="M1078" s="4">
        <f>PROPER(TRIM(Raw_Data!M1078))</f>
        <v/>
      </c>
      <c r="N1078" s="6">
        <f>ROUND(Raw_Data!N1078,2)</f>
        <v/>
      </c>
      <c r="O1078" s="7">
        <f>IF(COUNTIF($A$2:$A$1201,A1078)&gt;1,"DUPLICATE","Unique")</f>
        <v/>
      </c>
      <c r="P1078" s="7">
        <f>IF(COUNTIF($J$2:$J$1201,J1078)&gt;1,"DUPLICATE","Unique")</f>
        <v/>
      </c>
      <c r="Q1078" s="4">
        <f>IF(TRIM(Raw_Data!L1078)="","Yes","No")</f>
        <v/>
      </c>
      <c r="R1078" s="4">
        <f>IF(ISNUMBER(B1078),"Valid","INVALID")</f>
        <v/>
      </c>
    </row>
    <row r="1079">
      <c r="A1079" s="4">
        <f>TRIM(Raw_Data!A1079)</f>
        <v/>
      </c>
      <c r="B1079" s="5">
        <f>Raw_Data!B1079</f>
        <v/>
      </c>
      <c r="C1079" s="4">
        <f>TRIM(Raw_Data!C1079)</f>
        <v/>
      </c>
      <c r="D1079" s="4">
        <f>PROPER(TRIM(Raw_Data!D1079))</f>
        <v/>
      </c>
      <c r="E1079" s="4">
        <f>Raw_Data!E1079</f>
        <v/>
      </c>
      <c r="F1079" s="6">
        <f>ROUND(Raw_Data!F1079,2)</f>
        <v/>
      </c>
      <c r="G1079" s="4">
        <f>PROPER(TRIM(Raw_Data!G1079))</f>
        <v/>
      </c>
      <c r="H1079" s="4">
        <f>PROPER(TRIM(Raw_Data!H1079))</f>
        <v/>
      </c>
      <c r="I1079" s="4">
        <f>PROPER(TRIM(Raw_Data!I1079))</f>
        <v/>
      </c>
      <c r="J1079" s="4">
        <f>TRIM(Raw_Data!J1079)</f>
        <v/>
      </c>
      <c r="K1079" s="4">
        <f>Raw_Data!K1079</f>
        <v/>
      </c>
      <c r="L1079" s="4">
        <f>IF(TRIM(Raw_Data!L1079)="","No Coupon",TRIM(Raw_Data!L1079))</f>
        <v/>
      </c>
      <c r="M1079" s="4">
        <f>PROPER(TRIM(Raw_Data!M1079))</f>
        <v/>
      </c>
      <c r="N1079" s="6">
        <f>ROUND(Raw_Data!N1079,2)</f>
        <v/>
      </c>
      <c r="O1079" s="7">
        <f>IF(COUNTIF($A$2:$A$1201,A1079)&gt;1,"DUPLICATE","Unique")</f>
        <v/>
      </c>
      <c r="P1079" s="7">
        <f>IF(COUNTIF($J$2:$J$1201,J1079)&gt;1,"DUPLICATE","Unique")</f>
        <v/>
      </c>
      <c r="Q1079" s="4">
        <f>IF(TRIM(Raw_Data!L1079)="","Yes","No")</f>
        <v/>
      </c>
      <c r="R1079" s="4">
        <f>IF(ISNUMBER(B1079),"Valid","INVALID")</f>
        <v/>
      </c>
    </row>
    <row r="1080">
      <c r="A1080" s="4">
        <f>TRIM(Raw_Data!A1080)</f>
        <v/>
      </c>
      <c r="B1080" s="5">
        <f>Raw_Data!B1080</f>
        <v/>
      </c>
      <c r="C1080" s="4">
        <f>TRIM(Raw_Data!C1080)</f>
        <v/>
      </c>
      <c r="D1080" s="4">
        <f>PROPER(TRIM(Raw_Data!D1080))</f>
        <v/>
      </c>
      <c r="E1080" s="4">
        <f>Raw_Data!E1080</f>
        <v/>
      </c>
      <c r="F1080" s="6">
        <f>ROUND(Raw_Data!F1080,2)</f>
        <v/>
      </c>
      <c r="G1080" s="4">
        <f>PROPER(TRIM(Raw_Data!G1080))</f>
        <v/>
      </c>
      <c r="H1080" s="4">
        <f>PROPER(TRIM(Raw_Data!H1080))</f>
        <v/>
      </c>
      <c r="I1080" s="4">
        <f>PROPER(TRIM(Raw_Data!I1080))</f>
        <v/>
      </c>
      <c r="J1080" s="4">
        <f>TRIM(Raw_Data!J1080)</f>
        <v/>
      </c>
      <c r="K1080" s="4">
        <f>Raw_Data!K1080</f>
        <v/>
      </c>
      <c r="L1080" s="4">
        <f>IF(TRIM(Raw_Data!L1080)="","No Coupon",TRIM(Raw_Data!L1080))</f>
        <v/>
      </c>
      <c r="M1080" s="4">
        <f>PROPER(TRIM(Raw_Data!M1080))</f>
        <v/>
      </c>
      <c r="N1080" s="6">
        <f>ROUND(Raw_Data!N1080,2)</f>
        <v/>
      </c>
      <c r="O1080" s="7">
        <f>IF(COUNTIF($A$2:$A$1201,A1080)&gt;1,"DUPLICATE","Unique")</f>
        <v/>
      </c>
      <c r="P1080" s="7">
        <f>IF(COUNTIF($J$2:$J$1201,J1080)&gt;1,"DUPLICATE","Unique")</f>
        <v/>
      </c>
      <c r="Q1080" s="4">
        <f>IF(TRIM(Raw_Data!L1080)="","Yes","No")</f>
        <v/>
      </c>
      <c r="R1080" s="4">
        <f>IF(ISNUMBER(B1080),"Valid","INVALID")</f>
        <v/>
      </c>
    </row>
    <row r="1081">
      <c r="A1081" s="4">
        <f>TRIM(Raw_Data!A1081)</f>
        <v/>
      </c>
      <c r="B1081" s="5">
        <f>Raw_Data!B1081</f>
        <v/>
      </c>
      <c r="C1081" s="4">
        <f>TRIM(Raw_Data!C1081)</f>
        <v/>
      </c>
      <c r="D1081" s="4">
        <f>PROPER(TRIM(Raw_Data!D1081))</f>
        <v/>
      </c>
      <c r="E1081" s="4">
        <f>Raw_Data!E1081</f>
        <v/>
      </c>
      <c r="F1081" s="6">
        <f>ROUND(Raw_Data!F1081,2)</f>
        <v/>
      </c>
      <c r="G1081" s="4">
        <f>PROPER(TRIM(Raw_Data!G1081))</f>
        <v/>
      </c>
      <c r="H1081" s="4">
        <f>PROPER(TRIM(Raw_Data!H1081))</f>
        <v/>
      </c>
      <c r="I1081" s="4">
        <f>PROPER(TRIM(Raw_Data!I1081))</f>
        <v/>
      </c>
      <c r="J1081" s="4">
        <f>TRIM(Raw_Data!J1081)</f>
        <v/>
      </c>
      <c r="K1081" s="4">
        <f>Raw_Data!K1081</f>
        <v/>
      </c>
      <c r="L1081" s="4">
        <f>IF(TRIM(Raw_Data!L1081)="","No Coupon",TRIM(Raw_Data!L1081))</f>
        <v/>
      </c>
      <c r="M1081" s="4">
        <f>PROPER(TRIM(Raw_Data!M1081))</f>
        <v/>
      </c>
      <c r="N1081" s="6">
        <f>ROUND(Raw_Data!N1081,2)</f>
        <v/>
      </c>
      <c r="O1081" s="7">
        <f>IF(COUNTIF($A$2:$A$1201,A1081)&gt;1,"DUPLICATE","Unique")</f>
        <v/>
      </c>
      <c r="P1081" s="7">
        <f>IF(COUNTIF($J$2:$J$1201,J1081)&gt;1,"DUPLICATE","Unique")</f>
        <v/>
      </c>
      <c r="Q1081" s="4">
        <f>IF(TRIM(Raw_Data!L1081)="","Yes","No")</f>
        <v/>
      </c>
      <c r="R1081" s="4">
        <f>IF(ISNUMBER(B1081),"Valid","INVALID")</f>
        <v/>
      </c>
    </row>
    <row r="1082">
      <c r="A1082" s="4">
        <f>TRIM(Raw_Data!A1082)</f>
        <v/>
      </c>
      <c r="B1082" s="5">
        <f>Raw_Data!B1082</f>
        <v/>
      </c>
      <c r="C1082" s="4">
        <f>TRIM(Raw_Data!C1082)</f>
        <v/>
      </c>
      <c r="D1082" s="4">
        <f>PROPER(TRIM(Raw_Data!D1082))</f>
        <v/>
      </c>
      <c r="E1082" s="4">
        <f>Raw_Data!E1082</f>
        <v/>
      </c>
      <c r="F1082" s="6">
        <f>ROUND(Raw_Data!F1082,2)</f>
        <v/>
      </c>
      <c r="G1082" s="4">
        <f>PROPER(TRIM(Raw_Data!G1082))</f>
        <v/>
      </c>
      <c r="H1082" s="4">
        <f>PROPER(TRIM(Raw_Data!H1082))</f>
        <v/>
      </c>
      <c r="I1082" s="4">
        <f>PROPER(TRIM(Raw_Data!I1082))</f>
        <v/>
      </c>
      <c r="J1082" s="4">
        <f>TRIM(Raw_Data!J1082)</f>
        <v/>
      </c>
      <c r="K1082" s="4">
        <f>Raw_Data!K1082</f>
        <v/>
      </c>
      <c r="L1082" s="4">
        <f>IF(TRIM(Raw_Data!L1082)="","No Coupon",TRIM(Raw_Data!L1082))</f>
        <v/>
      </c>
      <c r="M1082" s="4">
        <f>PROPER(TRIM(Raw_Data!M1082))</f>
        <v/>
      </c>
      <c r="N1082" s="6">
        <f>ROUND(Raw_Data!N1082,2)</f>
        <v/>
      </c>
      <c r="O1082" s="7">
        <f>IF(COUNTIF($A$2:$A$1201,A1082)&gt;1,"DUPLICATE","Unique")</f>
        <v/>
      </c>
      <c r="P1082" s="7">
        <f>IF(COUNTIF($J$2:$J$1201,J1082)&gt;1,"DUPLICATE","Unique")</f>
        <v/>
      </c>
      <c r="Q1082" s="4">
        <f>IF(TRIM(Raw_Data!L1082)="","Yes","No")</f>
        <v/>
      </c>
      <c r="R1082" s="4">
        <f>IF(ISNUMBER(B1082),"Valid","INVALID")</f>
        <v/>
      </c>
    </row>
    <row r="1083">
      <c r="A1083" s="4">
        <f>TRIM(Raw_Data!A1083)</f>
        <v/>
      </c>
      <c r="B1083" s="5">
        <f>Raw_Data!B1083</f>
        <v/>
      </c>
      <c r="C1083" s="4">
        <f>TRIM(Raw_Data!C1083)</f>
        <v/>
      </c>
      <c r="D1083" s="4">
        <f>PROPER(TRIM(Raw_Data!D1083))</f>
        <v/>
      </c>
      <c r="E1083" s="4">
        <f>Raw_Data!E1083</f>
        <v/>
      </c>
      <c r="F1083" s="6">
        <f>ROUND(Raw_Data!F1083,2)</f>
        <v/>
      </c>
      <c r="G1083" s="4">
        <f>PROPER(TRIM(Raw_Data!G1083))</f>
        <v/>
      </c>
      <c r="H1083" s="4">
        <f>PROPER(TRIM(Raw_Data!H1083))</f>
        <v/>
      </c>
      <c r="I1083" s="4">
        <f>PROPER(TRIM(Raw_Data!I1083))</f>
        <v/>
      </c>
      <c r="J1083" s="4">
        <f>TRIM(Raw_Data!J1083)</f>
        <v/>
      </c>
      <c r="K1083" s="4">
        <f>Raw_Data!K1083</f>
        <v/>
      </c>
      <c r="L1083" s="4">
        <f>IF(TRIM(Raw_Data!L1083)="","No Coupon",TRIM(Raw_Data!L1083))</f>
        <v/>
      </c>
      <c r="M1083" s="4">
        <f>PROPER(TRIM(Raw_Data!M1083))</f>
        <v/>
      </c>
      <c r="N1083" s="6">
        <f>ROUND(Raw_Data!N1083,2)</f>
        <v/>
      </c>
      <c r="O1083" s="7">
        <f>IF(COUNTIF($A$2:$A$1201,A1083)&gt;1,"DUPLICATE","Unique")</f>
        <v/>
      </c>
      <c r="P1083" s="7">
        <f>IF(COUNTIF($J$2:$J$1201,J1083)&gt;1,"DUPLICATE","Unique")</f>
        <v/>
      </c>
      <c r="Q1083" s="4">
        <f>IF(TRIM(Raw_Data!L1083)="","Yes","No")</f>
        <v/>
      </c>
      <c r="R1083" s="4">
        <f>IF(ISNUMBER(B1083),"Valid","INVALID")</f>
        <v/>
      </c>
    </row>
    <row r="1084">
      <c r="A1084" s="4">
        <f>TRIM(Raw_Data!A1084)</f>
        <v/>
      </c>
      <c r="B1084" s="5">
        <f>Raw_Data!B1084</f>
        <v/>
      </c>
      <c r="C1084" s="4">
        <f>TRIM(Raw_Data!C1084)</f>
        <v/>
      </c>
      <c r="D1084" s="4">
        <f>PROPER(TRIM(Raw_Data!D1084))</f>
        <v/>
      </c>
      <c r="E1084" s="4">
        <f>Raw_Data!E1084</f>
        <v/>
      </c>
      <c r="F1084" s="6">
        <f>ROUND(Raw_Data!F1084,2)</f>
        <v/>
      </c>
      <c r="G1084" s="4">
        <f>PROPER(TRIM(Raw_Data!G1084))</f>
        <v/>
      </c>
      <c r="H1084" s="4">
        <f>PROPER(TRIM(Raw_Data!H1084))</f>
        <v/>
      </c>
      <c r="I1084" s="4">
        <f>PROPER(TRIM(Raw_Data!I1084))</f>
        <v/>
      </c>
      <c r="J1084" s="4">
        <f>TRIM(Raw_Data!J1084)</f>
        <v/>
      </c>
      <c r="K1084" s="4">
        <f>Raw_Data!K1084</f>
        <v/>
      </c>
      <c r="L1084" s="4">
        <f>IF(TRIM(Raw_Data!L1084)="","No Coupon",TRIM(Raw_Data!L1084))</f>
        <v/>
      </c>
      <c r="M1084" s="4">
        <f>PROPER(TRIM(Raw_Data!M1084))</f>
        <v/>
      </c>
      <c r="N1084" s="6">
        <f>ROUND(Raw_Data!N1084,2)</f>
        <v/>
      </c>
      <c r="O1084" s="7">
        <f>IF(COUNTIF($A$2:$A$1201,A1084)&gt;1,"DUPLICATE","Unique")</f>
        <v/>
      </c>
      <c r="P1084" s="7">
        <f>IF(COUNTIF($J$2:$J$1201,J1084)&gt;1,"DUPLICATE","Unique")</f>
        <v/>
      </c>
      <c r="Q1084" s="4">
        <f>IF(TRIM(Raw_Data!L1084)="","Yes","No")</f>
        <v/>
      </c>
      <c r="R1084" s="4">
        <f>IF(ISNUMBER(B1084),"Valid","INVALID")</f>
        <v/>
      </c>
    </row>
    <row r="1085">
      <c r="A1085" s="4">
        <f>TRIM(Raw_Data!A1085)</f>
        <v/>
      </c>
      <c r="B1085" s="5">
        <f>Raw_Data!B1085</f>
        <v/>
      </c>
      <c r="C1085" s="4">
        <f>TRIM(Raw_Data!C1085)</f>
        <v/>
      </c>
      <c r="D1085" s="4">
        <f>PROPER(TRIM(Raw_Data!D1085))</f>
        <v/>
      </c>
      <c r="E1085" s="4">
        <f>Raw_Data!E1085</f>
        <v/>
      </c>
      <c r="F1085" s="6">
        <f>ROUND(Raw_Data!F1085,2)</f>
        <v/>
      </c>
      <c r="G1085" s="4">
        <f>PROPER(TRIM(Raw_Data!G1085))</f>
        <v/>
      </c>
      <c r="H1085" s="4">
        <f>PROPER(TRIM(Raw_Data!H1085))</f>
        <v/>
      </c>
      <c r="I1085" s="4">
        <f>PROPER(TRIM(Raw_Data!I1085))</f>
        <v/>
      </c>
      <c r="J1085" s="4">
        <f>TRIM(Raw_Data!J1085)</f>
        <v/>
      </c>
      <c r="K1085" s="4">
        <f>Raw_Data!K1085</f>
        <v/>
      </c>
      <c r="L1085" s="4">
        <f>IF(TRIM(Raw_Data!L1085)="","No Coupon",TRIM(Raw_Data!L1085))</f>
        <v/>
      </c>
      <c r="M1085" s="4">
        <f>PROPER(TRIM(Raw_Data!M1085))</f>
        <v/>
      </c>
      <c r="N1085" s="6">
        <f>ROUND(Raw_Data!N1085,2)</f>
        <v/>
      </c>
      <c r="O1085" s="7">
        <f>IF(COUNTIF($A$2:$A$1201,A1085)&gt;1,"DUPLICATE","Unique")</f>
        <v/>
      </c>
      <c r="P1085" s="7">
        <f>IF(COUNTIF($J$2:$J$1201,J1085)&gt;1,"DUPLICATE","Unique")</f>
        <v/>
      </c>
      <c r="Q1085" s="4">
        <f>IF(TRIM(Raw_Data!L1085)="","Yes","No")</f>
        <v/>
      </c>
      <c r="R1085" s="4">
        <f>IF(ISNUMBER(B1085),"Valid","INVALID")</f>
        <v/>
      </c>
    </row>
    <row r="1086">
      <c r="A1086" s="4">
        <f>TRIM(Raw_Data!A1086)</f>
        <v/>
      </c>
      <c r="B1086" s="5">
        <f>Raw_Data!B1086</f>
        <v/>
      </c>
      <c r="C1086" s="4">
        <f>TRIM(Raw_Data!C1086)</f>
        <v/>
      </c>
      <c r="D1086" s="4">
        <f>PROPER(TRIM(Raw_Data!D1086))</f>
        <v/>
      </c>
      <c r="E1086" s="4">
        <f>Raw_Data!E1086</f>
        <v/>
      </c>
      <c r="F1086" s="6">
        <f>ROUND(Raw_Data!F1086,2)</f>
        <v/>
      </c>
      <c r="G1086" s="4">
        <f>PROPER(TRIM(Raw_Data!G1086))</f>
        <v/>
      </c>
      <c r="H1086" s="4">
        <f>PROPER(TRIM(Raw_Data!H1086))</f>
        <v/>
      </c>
      <c r="I1086" s="4">
        <f>PROPER(TRIM(Raw_Data!I1086))</f>
        <v/>
      </c>
      <c r="J1086" s="4">
        <f>TRIM(Raw_Data!J1086)</f>
        <v/>
      </c>
      <c r="K1086" s="4">
        <f>Raw_Data!K1086</f>
        <v/>
      </c>
      <c r="L1086" s="4">
        <f>IF(TRIM(Raw_Data!L1086)="","No Coupon",TRIM(Raw_Data!L1086))</f>
        <v/>
      </c>
      <c r="M1086" s="4">
        <f>PROPER(TRIM(Raw_Data!M1086))</f>
        <v/>
      </c>
      <c r="N1086" s="6">
        <f>ROUND(Raw_Data!N1086,2)</f>
        <v/>
      </c>
      <c r="O1086" s="7">
        <f>IF(COUNTIF($A$2:$A$1201,A1086)&gt;1,"DUPLICATE","Unique")</f>
        <v/>
      </c>
      <c r="P1086" s="7">
        <f>IF(COUNTIF($J$2:$J$1201,J1086)&gt;1,"DUPLICATE","Unique")</f>
        <v/>
      </c>
      <c r="Q1086" s="4">
        <f>IF(TRIM(Raw_Data!L1086)="","Yes","No")</f>
        <v/>
      </c>
      <c r="R1086" s="4">
        <f>IF(ISNUMBER(B1086),"Valid","INVALID")</f>
        <v/>
      </c>
    </row>
    <row r="1087">
      <c r="A1087" s="4">
        <f>TRIM(Raw_Data!A1087)</f>
        <v/>
      </c>
      <c r="B1087" s="5">
        <f>Raw_Data!B1087</f>
        <v/>
      </c>
      <c r="C1087" s="4">
        <f>TRIM(Raw_Data!C1087)</f>
        <v/>
      </c>
      <c r="D1087" s="4">
        <f>PROPER(TRIM(Raw_Data!D1087))</f>
        <v/>
      </c>
      <c r="E1087" s="4">
        <f>Raw_Data!E1087</f>
        <v/>
      </c>
      <c r="F1087" s="6">
        <f>ROUND(Raw_Data!F1087,2)</f>
        <v/>
      </c>
      <c r="G1087" s="4">
        <f>PROPER(TRIM(Raw_Data!G1087))</f>
        <v/>
      </c>
      <c r="H1087" s="4">
        <f>PROPER(TRIM(Raw_Data!H1087))</f>
        <v/>
      </c>
      <c r="I1087" s="4">
        <f>PROPER(TRIM(Raw_Data!I1087))</f>
        <v/>
      </c>
      <c r="J1087" s="4">
        <f>TRIM(Raw_Data!J1087)</f>
        <v/>
      </c>
      <c r="K1087" s="4">
        <f>Raw_Data!K1087</f>
        <v/>
      </c>
      <c r="L1087" s="4">
        <f>IF(TRIM(Raw_Data!L1087)="","No Coupon",TRIM(Raw_Data!L1087))</f>
        <v/>
      </c>
      <c r="M1087" s="4">
        <f>PROPER(TRIM(Raw_Data!M1087))</f>
        <v/>
      </c>
      <c r="N1087" s="6">
        <f>ROUND(Raw_Data!N1087,2)</f>
        <v/>
      </c>
      <c r="O1087" s="7">
        <f>IF(COUNTIF($A$2:$A$1201,A1087)&gt;1,"DUPLICATE","Unique")</f>
        <v/>
      </c>
      <c r="P1087" s="7">
        <f>IF(COUNTIF($J$2:$J$1201,J1087)&gt;1,"DUPLICATE","Unique")</f>
        <v/>
      </c>
      <c r="Q1087" s="4">
        <f>IF(TRIM(Raw_Data!L1087)="","Yes","No")</f>
        <v/>
      </c>
      <c r="R1087" s="4">
        <f>IF(ISNUMBER(B1087),"Valid","INVALID")</f>
        <v/>
      </c>
    </row>
    <row r="1088">
      <c r="A1088" s="4">
        <f>TRIM(Raw_Data!A1088)</f>
        <v/>
      </c>
      <c r="B1088" s="5">
        <f>Raw_Data!B1088</f>
        <v/>
      </c>
      <c r="C1088" s="4">
        <f>TRIM(Raw_Data!C1088)</f>
        <v/>
      </c>
      <c r="D1088" s="4">
        <f>PROPER(TRIM(Raw_Data!D1088))</f>
        <v/>
      </c>
      <c r="E1088" s="4">
        <f>Raw_Data!E1088</f>
        <v/>
      </c>
      <c r="F1088" s="6">
        <f>ROUND(Raw_Data!F1088,2)</f>
        <v/>
      </c>
      <c r="G1088" s="4">
        <f>PROPER(TRIM(Raw_Data!G1088))</f>
        <v/>
      </c>
      <c r="H1088" s="4">
        <f>PROPER(TRIM(Raw_Data!H1088))</f>
        <v/>
      </c>
      <c r="I1088" s="4">
        <f>PROPER(TRIM(Raw_Data!I1088))</f>
        <v/>
      </c>
      <c r="J1088" s="4">
        <f>TRIM(Raw_Data!J1088)</f>
        <v/>
      </c>
      <c r="K1088" s="4">
        <f>Raw_Data!K1088</f>
        <v/>
      </c>
      <c r="L1088" s="4">
        <f>IF(TRIM(Raw_Data!L1088)="","No Coupon",TRIM(Raw_Data!L1088))</f>
        <v/>
      </c>
      <c r="M1088" s="4">
        <f>PROPER(TRIM(Raw_Data!M1088))</f>
        <v/>
      </c>
      <c r="N1088" s="6">
        <f>ROUND(Raw_Data!N1088,2)</f>
        <v/>
      </c>
      <c r="O1088" s="7">
        <f>IF(COUNTIF($A$2:$A$1201,A1088)&gt;1,"DUPLICATE","Unique")</f>
        <v/>
      </c>
      <c r="P1088" s="7">
        <f>IF(COUNTIF($J$2:$J$1201,J1088)&gt;1,"DUPLICATE","Unique")</f>
        <v/>
      </c>
      <c r="Q1088" s="4">
        <f>IF(TRIM(Raw_Data!L1088)="","Yes","No")</f>
        <v/>
      </c>
      <c r="R1088" s="4">
        <f>IF(ISNUMBER(B1088),"Valid","INVALID")</f>
        <v/>
      </c>
    </row>
    <row r="1089">
      <c r="A1089" s="4">
        <f>TRIM(Raw_Data!A1089)</f>
        <v/>
      </c>
      <c r="B1089" s="5">
        <f>Raw_Data!B1089</f>
        <v/>
      </c>
      <c r="C1089" s="4">
        <f>TRIM(Raw_Data!C1089)</f>
        <v/>
      </c>
      <c r="D1089" s="4">
        <f>PROPER(TRIM(Raw_Data!D1089))</f>
        <v/>
      </c>
      <c r="E1089" s="4">
        <f>Raw_Data!E1089</f>
        <v/>
      </c>
      <c r="F1089" s="6">
        <f>ROUND(Raw_Data!F1089,2)</f>
        <v/>
      </c>
      <c r="G1089" s="4">
        <f>PROPER(TRIM(Raw_Data!G1089))</f>
        <v/>
      </c>
      <c r="H1089" s="4">
        <f>PROPER(TRIM(Raw_Data!H1089))</f>
        <v/>
      </c>
      <c r="I1089" s="4">
        <f>PROPER(TRIM(Raw_Data!I1089))</f>
        <v/>
      </c>
      <c r="J1089" s="4">
        <f>TRIM(Raw_Data!J1089)</f>
        <v/>
      </c>
      <c r="K1089" s="4">
        <f>Raw_Data!K1089</f>
        <v/>
      </c>
      <c r="L1089" s="4">
        <f>IF(TRIM(Raw_Data!L1089)="","No Coupon",TRIM(Raw_Data!L1089))</f>
        <v/>
      </c>
      <c r="M1089" s="4">
        <f>PROPER(TRIM(Raw_Data!M1089))</f>
        <v/>
      </c>
      <c r="N1089" s="6">
        <f>ROUND(Raw_Data!N1089,2)</f>
        <v/>
      </c>
      <c r="O1089" s="7">
        <f>IF(COUNTIF($A$2:$A$1201,A1089)&gt;1,"DUPLICATE","Unique")</f>
        <v/>
      </c>
      <c r="P1089" s="7">
        <f>IF(COUNTIF($J$2:$J$1201,J1089)&gt;1,"DUPLICATE","Unique")</f>
        <v/>
      </c>
      <c r="Q1089" s="4">
        <f>IF(TRIM(Raw_Data!L1089)="","Yes","No")</f>
        <v/>
      </c>
      <c r="R1089" s="4">
        <f>IF(ISNUMBER(B1089),"Valid","INVALID")</f>
        <v/>
      </c>
    </row>
    <row r="1090">
      <c r="A1090" s="4">
        <f>TRIM(Raw_Data!A1090)</f>
        <v/>
      </c>
      <c r="B1090" s="5">
        <f>Raw_Data!B1090</f>
        <v/>
      </c>
      <c r="C1090" s="4">
        <f>TRIM(Raw_Data!C1090)</f>
        <v/>
      </c>
      <c r="D1090" s="4">
        <f>PROPER(TRIM(Raw_Data!D1090))</f>
        <v/>
      </c>
      <c r="E1090" s="4">
        <f>Raw_Data!E1090</f>
        <v/>
      </c>
      <c r="F1090" s="6">
        <f>ROUND(Raw_Data!F1090,2)</f>
        <v/>
      </c>
      <c r="G1090" s="4">
        <f>PROPER(TRIM(Raw_Data!G1090))</f>
        <v/>
      </c>
      <c r="H1090" s="4">
        <f>PROPER(TRIM(Raw_Data!H1090))</f>
        <v/>
      </c>
      <c r="I1090" s="4">
        <f>PROPER(TRIM(Raw_Data!I1090))</f>
        <v/>
      </c>
      <c r="J1090" s="4">
        <f>TRIM(Raw_Data!J1090)</f>
        <v/>
      </c>
      <c r="K1090" s="4">
        <f>Raw_Data!K1090</f>
        <v/>
      </c>
      <c r="L1090" s="4">
        <f>IF(TRIM(Raw_Data!L1090)="","No Coupon",TRIM(Raw_Data!L1090))</f>
        <v/>
      </c>
      <c r="M1090" s="4">
        <f>PROPER(TRIM(Raw_Data!M1090))</f>
        <v/>
      </c>
      <c r="N1090" s="6">
        <f>ROUND(Raw_Data!N1090,2)</f>
        <v/>
      </c>
      <c r="O1090" s="7">
        <f>IF(COUNTIF($A$2:$A$1201,A1090)&gt;1,"DUPLICATE","Unique")</f>
        <v/>
      </c>
      <c r="P1090" s="7">
        <f>IF(COUNTIF($J$2:$J$1201,J1090)&gt;1,"DUPLICATE","Unique")</f>
        <v/>
      </c>
      <c r="Q1090" s="4">
        <f>IF(TRIM(Raw_Data!L1090)="","Yes","No")</f>
        <v/>
      </c>
      <c r="R1090" s="4">
        <f>IF(ISNUMBER(B1090),"Valid","INVALID")</f>
        <v/>
      </c>
    </row>
    <row r="1091">
      <c r="A1091" s="4">
        <f>TRIM(Raw_Data!A1091)</f>
        <v/>
      </c>
      <c r="B1091" s="5">
        <f>Raw_Data!B1091</f>
        <v/>
      </c>
      <c r="C1091" s="4">
        <f>TRIM(Raw_Data!C1091)</f>
        <v/>
      </c>
      <c r="D1091" s="4">
        <f>PROPER(TRIM(Raw_Data!D1091))</f>
        <v/>
      </c>
      <c r="E1091" s="4">
        <f>Raw_Data!E1091</f>
        <v/>
      </c>
      <c r="F1091" s="6">
        <f>ROUND(Raw_Data!F1091,2)</f>
        <v/>
      </c>
      <c r="G1091" s="4">
        <f>PROPER(TRIM(Raw_Data!G1091))</f>
        <v/>
      </c>
      <c r="H1091" s="4">
        <f>PROPER(TRIM(Raw_Data!H1091))</f>
        <v/>
      </c>
      <c r="I1091" s="4">
        <f>PROPER(TRIM(Raw_Data!I1091))</f>
        <v/>
      </c>
      <c r="J1091" s="4">
        <f>TRIM(Raw_Data!J1091)</f>
        <v/>
      </c>
      <c r="K1091" s="4">
        <f>Raw_Data!K1091</f>
        <v/>
      </c>
      <c r="L1091" s="4">
        <f>IF(TRIM(Raw_Data!L1091)="","No Coupon",TRIM(Raw_Data!L1091))</f>
        <v/>
      </c>
      <c r="M1091" s="4">
        <f>PROPER(TRIM(Raw_Data!M1091))</f>
        <v/>
      </c>
      <c r="N1091" s="6">
        <f>ROUND(Raw_Data!N1091,2)</f>
        <v/>
      </c>
      <c r="O1091" s="7">
        <f>IF(COUNTIF($A$2:$A$1201,A1091)&gt;1,"DUPLICATE","Unique")</f>
        <v/>
      </c>
      <c r="P1091" s="7">
        <f>IF(COUNTIF($J$2:$J$1201,J1091)&gt;1,"DUPLICATE","Unique")</f>
        <v/>
      </c>
      <c r="Q1091" s="4">
        <f>IF(TRIM(Raw_Data!L1091)="","Yes","No")</f>
        <v/>
      </c>
      <c r="R1091" s="4">
        <f>IF(ISNUMBER(B1091),"Valid","INVALID")</f>
        <v/>
      </c>
    </row>
    <row r="1092">
      <c r="A1092" s="4">
        <f>TRIM(Raw_Data!A1092)</f>
        <v/>
      </c>
      <c r="B1092" s="5">
        <f>Raw_Data!B1092</f>
        <v/>
      </c>
      <c r="C1092" s="4">
        <f>TRIM(Raw_Data!C1092)</f>
        <v/>
      </c>
      <c r="D1092" s="4">
        <f>PROPER(TRIM(Raw_Data!D1092))</f>
        <v/>
      </c>
      <c r="E1092" s="4">
        <f>Raw_Data!E1092</f>
        <v/>
      </c>
      <c r="F1092" s="6">
        <f>ROUND(Raw_Data!F1092,2)</f>
        <v/>
      </c>
      <c r="G1092" s="4">
        <f>PROPER(TRIM(Raw_Data!G1092))</f>
        <v/>
      </c>
      <c r="H1092" s="4">
        <f>PROPER(TRIM(Raw_Data!H1092))</f>
        <v/>
      </c>
      <c r="I1092" s="4">
        <f>PROPER(TRIM(Raw_Data!I1092))</f>
        <v/>
      </c>
      <c r="J1092" s="4">
        <f>TRIM(Raw_Data!J1092)</f>
        <v/>
      </c>
      <c r="K1092" s="4">
        <f>Raw_Data!K1092</f>
        <v/>
      </c>
      <c r="L1092" s="4">
        <f>IF(TRIM(Raw_Data!L1092)="","No Coupon",TRIM(Raw_Data!L1092))</f>
        <v/>
      </c>
      <c r="M1092" s="4">
        <f>PROPER(TRIM(Raw_Data!M1092))</f>
        <v/>
      </c>
      <c r="N1092" s="6">
        <f>ROUND(Raw_Data!N1092,2)</f>
        <v/>
      </c>
      <c r="O1092" s="7">
        <f>IF(COUNTIF($A$2:$A$1201,A1092)&gt;1,"DUPLICATE","Unique")</f>
        <v/>
      </c>
      <c r="P1092" s="7">
        <f>IF(COUNTIF($J$2:$J$1201,J1092)&gt;1,"DUPLICATE","Unique")</f>
        <v/>
      </c>
      <c r="Q1092" s="4">
        <f>IF(TRIM(Raw_Data!L1092)="","Yes","No")</f>
        <v/>
      </c>
      <c r="R1092" s="4">
        <f>IF(ISNUMBER(B1092),"Valid","INVALID")</f>
        <v/>
      </c>
    </row>
    <row r="1093">
      <c r="A1093" s="4">
        <f>TRIM(Raw_Data!A1093)</f>
        <v/>
      </c>
      <c r="B1093" s="5">
        <f>Raw_Data!B1093</f>
        <v/>
      </c>
      <c r="C1093" s="4">
        <f>TRIM(Raw_Data!C1093)</f>
        <v/>
      </c>
      <c r="D1093" s="4">
        <f>PROPER(TRIM(Raw_Data!D1093))</f>
        <v/>
      </c>
      <c r="E1093" s="4">
        <f>Raw_Data!E1093</f>
        <v/>
      </c>
      <c r="F1093" s="6">
        <f>ROUND(Raw_Data!F1093,2)</f>
        <v/>
      </c>
      <c r="G1093" s="4">
        <f>PROPER(TRIM(Raw_Data!G1093))</f>
        <v/>
      </c>
      <c r="H1093" s="4">
        <f>PROPER(TRIM(Raw_Data!H1093))</f>
        <v/>
      </c>
      <c r="I1093" s="4">
        <f>PROPER(TRIM(Raw_Data!I1093))</f>
        <v/>
      </c>
      <c r="J1093" s="4">
        <f>TRIM(Raw_Data!J1093)</f>
        <v/>
      </c>
      <c r="K1093" s="4">
        <f>Raw_Data!K1093</f>
        <v/>
      </c>
      <c r="L1093" s="4">
        <f>IF(TRIM(Raw_Data!L1093)="","No Coupon",TRIM(Raw_Data!L1093))</f>
        <v/>
      </c>
      <c r="M1093" s="4">
        <f>PROPER(TRIM(Raw_Data!M1093))</f>
        <v/>
      </c>
      <c r="N1093" s="6">
        <f>ROUND(Raw_Data!N1093,2)</f>
        <v/>
      </c>
      <c r="O1093" s="7">
        <f>IF(COUNTIF($A$2:$A$1201,A1093)&gt;1,"DUPLICATE","Unique")</f>
        <v/>
      </c>
      <c r="P1093" s="7">
        <f>IF(COUNTIF($J$2:$J$1201,J1093)&gt;1,"DUPLICATE","Unique")</f>
        <v/>
      </c>
      <c r="Q1093" s="4">
        <f>IF(TRIM(Raw_Data!L1093)="","Yes","No")</f>
        <v/>
      </c>
      <c r="R1093" s="4">
        <f>IF(ISNUMBER(B1093),"Valid","INVALID")</f>
        <v/>
      </c>
    </row>
    <row r="1094">
      <c r="A1094" s="4">
        <f>TRIM(Raw_Data!A1094)</f>
        <v/>
      </c>
      <c r="B1094" s="5">
        <f>Raw_Data!B1094</f>
        <v/>
      </c>
      <c r="C1094" s="4">
        <f>TRIM(Raw_Data!C1094)</f>
        <v/>
      </c>
      <c r="D1094" s="4">
        <f>PROPER(TRIM(Raw_Data!D1094))</f>
        <v/>
      </c>
      <c r="E1094" s="4">
        <f>Raw_Data!E1094</f>
        <v/>
      </c>
      <c r="F1094" s="6">
        <f>ROUND(Raw_Data!F1094,2)</f>
        <v/>
      </c>
      <c r="G1094" s="4">
        <f>PROPER(TRIM(Raw_Data!G1094))</f>
        <v/>
      </c>
      <c r="H1094" s="4">
        <f>PROPER(TRIM(Raw_Data!H1094))</f>
        <v/>
      </c>
      <c r="I1094" s="4">
        <f>PROPER(TRIM(Raw_Data!I1094))</f>
        <v/>
      </c>
      <c r="J1094" s="4">
        <f>TRIM(Raw_Data!J1094)</f>
        <v/>
      </c>
      <c r="K1094" s="4">
        <f>Raw_Data!K1094</f>
        <v/>
      </c>
      <c r="L1094" s="4">
        <f>IF(TRIM(Raw_Data!L1094)="","No Coupon",TRIM(Raw_Data!L1094))</f>
        <v/>
      </c>
      <c r="M1094" s="4">
        <f>PROPER(TRIM(Raw_Data!M1094))</f>
        <v/>
      </c>
      <c r="N1094" s="6">
        <f>ROUND(Raw_Data!N1094,2)</f>
        <v/>
      </c>
      <c r="O1094" s="7">
        <f>IF(COUNTIF($A$2:$A$1201,A1094)&gt;1,"DUPLICATE","Unique")</f>
        <v/>
      </c>
      <c r="P1094" s="7">
        <f>IF(COUNTIF($J$2:$J$1201,J1094)&gt;1,"DUPLICATE","Unique")</f>
        <v/>
      </c>
      <c r="Q1094" s="4">
        <f>IF(TRIM(Raw_Data!L1094)="","Yes","No")</f>
        <v/>
      </c>
      <c r="R1094" s="4">
        <f>IF(ISNUMBER(B1094),"Valid","INVALID")</f>
        <v/>
      </c>
    </row>
    <row r="1095">
      <c r="A1095" s="4">
        <f>TRIM(Raw_Data!A1095)</f>
        <v/>
      </c>
      <c r="B1095" s="5">
        <f>Raw_Data!B1095</f>
        <v/>
      </c>
      <c r="C1095" s="4">
        <f>TRIM(Raw_Data!C1095)</f>
        <v/>
      </c>
      <c r="D1095" s="4">
        <f>PROPER(TRIM(Raw_Data!D1095))</f>
        <v/>
      </c>
      <c r="E1095" s="4">
        <f>Raw_Data!E1095</f>
        <v/>
      </c>
      <c r="F1095" s="6">
        <f>ROUND(Raw_Data!F1095,2)</f>
        <v/>
      </c>
      <c r="G1095" s="4">
        <f>PROPER(TRIM(Raw_Data!G1095))</f>
        <v/>
      </c>
      <c r="H1095" s="4">
        <f>PROPER(TRIM(Raw_Data!H1095))</f>
        <v/>
      </c>
      <c r="I1095" s="4">
        <f>PROPER(TRIM(Raw_Data!I1095))</f>
        <v/>
      </c>
      <c r="J1095" s="4">
        <f>TRIM(Raw_Data!J1095)</f>
        <v/>
      </c>
      <c r="K1095" s="4">
        <f>Raw_Data!K1095</f>
        <v/>
      </c>
      <c r="L1095" s="4">
        <f>IF(TRIM(Raw_Data!L1095)="","No Coupon",TRIM(Raw_Data!L1095))</f>
        <v/>
      </c>
      <c r="M1095" s="4">
        <f>PROPER(TRIM(Raw_Data!M1095))</f>
        <v/>
      </c>
      <c r="N1095" s="6">
        <f>ROUND(Raw_Data!N1095,2)</f>
        <v/>
      </c>
      <c r="O1095" s="7">
        <f>IF(COUNTIF($A$2:$A$1201,A1095)&gt;1,"DUPLICATE","Unique")</f>
        <v/>
      </c>
      <c r="P1095" s="7">
        <f>IF(COUNTIF($J$2:$J$1201,J1095)&gt;1,"DUPLICATE","Unique")</f>
        <v/>
      </c>
      <c r="Q1095" s="4">
        <f>IF(TRIM(Raw_Data!L1095)="","Yes","No")</f>
        <v/>
      </c>
      <c r="R1095" s="4">
        <f>IF(ISNUMBER(B1095),"Valid","INVALID")</f>
        <v/>
      </c>
    </row>
    <row r="1096">
      <c r="A1096" s="4">
        <f>TRIM(Raw_Data!A1096)</f>
        <v/>
      </c>
      <c r="B1096" s="5">
        <f>Raw_Data!B1096</f>
        <v/>
      </c>
      <c r="C1096" s="4">
        <f>TRIM(Raw_Data!C1096)</f>
        <v/>
      </c>
      <c r="D1096" s="4">
        <f>PROPER(TRIM(Raw_Data!D1096))</f>
        <v/>
      </c>
      <c r="E1096" s="4">
        <f>Raw_Data!E1096</f>
        <v/>
      </c>
      <c r="F1096" s="6">
        <f>ROUND(Raw_Data!F1096,2)</f>
        <v/>
      </c>
      <c r="G1096" s="4">
        <f>PROPER(TRIM(Raw_Data!G1096))</f>
        <v/>
      </c>
      <c r="H1096" s="4">
        <f>PROPER(TRIM(Raw_Data!H1096))</f>
        <v/>
      </c>
      <c r="I1096" s="4">
        <f>PROPER(TRIM(Raw_Data!I1096))</f>
        <v/>
      </c>
      <c r="J1096" s="4">
        <f>TRIM(Raw_Data!J1096)</f>
        <v/>
      </c>
      <c r="K1096" s="4">
        <f>Raw_Data!K1096</f>
        <v/>
      </c>
      <c r="L1096" s="4">
        <f>IF(TRIM(Raw_Data!L1096)="","No Coupon",TRIM(Raw_Data!L1096))</f>
        <v/>
      </c>
      <c r="M1096" s="4">
        <f>PROPER(TRIM(Raw_Data!M1096))</f>
        <v/>
      </c>
      <c r="N1096" s="6">
        <f>ROUND(Raw_Data!N1096,2)</f>
        <v/>
      </c>
      <c r="O1096" s="7">
        <f>IF(COUNTIF($A$2:$A$1201,A1096)&gt;1,"DUPLICATE","Unique")</f>
        <v/>
      </c>
      <c r="P1096" s="7">
        <f>IF(COUNTIF($J$2:$J$1201,J1096)&gt;1,"DUPLICATE","Unique")</f>
        <v/>
      </c>
      <c r="Q1096" s="4">
        <f>IF(TRIM(Raw_Data!L1096)="","Yes","No")</f>
        <v/>
      </c>
      <c r="R1096" s="4">
        <f>IF(ISNUMBER(B1096),"Valid","INVALID")</f>
        <v/>
      </c>
    </row>
    <row r="1097">
      <c r="A1097" s="4">
        <f>TRIM(Raw_Data!A1097)</f>
        <v/>
      </c>
      <c r="B1097" s="5">
        <f>Raw_Data!B1097</f>
        <v/>
      </c>
      <c r="C1097" s="4">
        <f>TRIM(Raw_Data!C1097)</f>
        <v/>
      </c>
      <c r="D1097" s="4">
        <f>PROPER(TRIM(Raw_Data!D1097))</f>
        <v/>
      </c>
      <c r="E1097" s="4">
        <f>Raw_Data!E1097</f>
        <v/>
      </c>
      <c r="F1097" s="6">
        <f>ROUND(Raw_Data!F1097,2)</f>
        <v/>
      </c>
      <c r="G1097" s="4">
        <f>PROPER(TRIM(Raw_Data!G1097))</f>
        <v/>
      </c>
      <c r="H1097" s="4">
        <f>PROPER(TRIM(Raw_Data!H1097))</f>
        <v/>
      </c>
      <c r="I1097" s="4">
        <f>PROPER(TRIM(Raw_Data!I1097))</f>
        <v/>
      </c>
      <c r="J1097" s="4">
        <f>TRIM(Raw_Data!J1097)</f>
        <v/>
      </c>
      <c r="K1097" s="4">
        <f>Raw_Data!K1097</f>
        <v/>
      </c>
      <c r="L1097" s="4">
        <f>IF(TRIM(Raw_Data!L1097)="","No Coupon",TRIM(Raw_Data!L1097))</f>
        <v/>
      </c>
      <c r="M1097" s="4">
        <f>PROPER(TRIM(Raw_Data!M1097))</f>
        <v/>
      </c>
      <c r="N1097" s="6">
        <f>ROUND(Raw_Data!N1097,2)</f>
        <v/>
      </c>
      <c r="O1097" s="7">
        <f>IF(COUNTIF($A$2:$A$1201,A1097)&gt;1,"DUPLICATE","Unique")</f>
        <v/>
      </c>
      <c r="P1097" s="7">
        <f>IF(COUNTIF($J$2:$J$1201,J1097)&gt;1,"DUPLICATE","Unique")</f>
        <v/>
      </c>
      <c r="Q1097" s="4">
        <f>IF(TRIM(Raw_Data!L1097)="","Yes","No")</f>
        <v/>
      </c>
      <c r="R1097" s="4">
        <f>IF(ISNUMBER(B1097),"Valid","INVALID")</f>
        <v/>
      </c>
    </row>
    <row r="1098">
      <c r="A1098" s="4">
        <f>TRIM(Raw_Data!A1098)</f>
        <v/>
      </c>
      <c r="B1098" s="5">
        <f>Raw_Data!B1098</f>
        <v/>
      </c>
      <c r="C1098" s="4">
        <f>TRIM(Raw_Data!C1098)</f>
        <v/>
      </c>
      <c r="D1098" s="4">
        <f>PROPER(TRIM(Raw_Data!D1098))</f>
        <v/>
      </c>
      <c r="E1098" s="4">
        <f>Raw_Data!E1098</f>
        <v/>
      </c>
      <c r="F1098" s="6">
        <f>ROUND(Raw_Data!F1098,2)</f>
        <v/>
      </c>
      <c r="G1098" s="4">
        <f>PROPER(TRIM(Raw_Data!G1098))</f>
        <v/>
      </c>
      <c r="H1098" s="4">
        <f>PROPER(TRIM(Raw_Data!H1098))</f>
        <v/>
      </c>
      <c r="I1098" s="4">
        <f>PROPER(TRIM(Raw_Data!I1098))</f>
        <v/>
      </c>
      <c r="J1098" s="4">
        <f>TRIM(Raw_Data!J1098)</f>
        <v/>
      </c>
      <c r="K1098" s="4">
        <f>Raw_Data!K1098</f>
        <v/>
      </c>
      <c r="L1098" s="4">
        <f>IF(TRIM(Raw_Data!L1098)="","No Coupon",TRIM(Raw_Data!L1098))</f>
        <v/>
      </c>
      <c r="M1098" s="4">
        <f>PROPER(TRIM(Raw_Data!M1098))</f>
        <v/>
      </c>
      <c r="N1098" s="6">
        <f>ROUND(Raw_Data!N1098,2)</f>
        <v/>
      </c>
      <c r="O1098" s="7">
        <f>IF(COUNTIF($A$2:$A$1201,A1098)&gt;1,"DUPLICATE","Unique")</f>
        <v/>
      </c>
      <c r="P1098" s="7">
        <f>IF(COUNTIF($J$2:$J$1201,J1098)&gt;1,"DUPLICATE","Unique")</f>
        <v/>
      </c>
      <c r="Q1098" s="4">
        <f>IF(TRIM(Raw_Data!L1098)="","Yes","No")</f>
        <v/>
      </c>
      <c r="R1098" s="4">
        <f>IF(ISNUMBER(B1098),"Valid","INVALID")</f>
        <v/>
      </c>
    </row>
    <row r="1099">
      <c r="A1099" s="4">
        <f>TRIM(Raw_Data!A1099)</f>
        <v/>
      </c>
      <c r="B1099" s="5">
        <f>Raw_Data!B1099</f>
        <v/>
      </c>
      <c r="C1099" s="4">
        <f>TRIM(Raw_Data!C1099)</f>
        <v/>
      </c>
      <c r="D1099" s="4">
        <f>PROPER(TRIM(Raw_Data!D1099))</f>
        <v/>
      </c>
      <c r="E1099" s="4">
        <f>Raw_Data!E1099</f>
        <v/>
      </c>
      <c r="F1099" s="6">
        <f>ROUND(Raw_Data!F1099,2)</f>
        <v/>
      </c>
      <c r="G1099" s="4">
        <f>PROPER(TRIM(Raw_Data!G1099))</f>
        <v/>
      </c>
      <c r="H1099" s="4">
        <f>PROPER(TRIM(Raw_Data!H1099))</f>
        <v/>
      </c>
      <c r="I1099" s="4">
        <f>PROPER(TRIM(Raw_Data!I1099))</f>
        <v/>
      </c>
      <c r="J1099" s="4">
        <f>TRIM(Raw_Data!J1099)</f>
        <v/>
      </c>
      <c r="K1099" s="4">
        <f>Raw_Data!K1099</f>
        <v/>
      </c>
      <c r="L1099" s="4">
        <f>IF(TRIM(Raw_Data!L1099)="","No Coupon",TRIM(Raw_Data!L1099))</f>
        <v/>
      </c>
      <c r="M1099" s="4">
        <f>PROPER(TRIM(Raw_Data!M1099))</f>
        <v/>
      </c>
      <c r="N1099" s="6">
        <f>ROUND(Raw_Data!N1099,2)</f>
        <v/>
      </c>
      <c r="O1099" s="7">
        <f>IF(COUNTIF($A$2:$A$1201,A1099)&gt;1,"DUPLICATE","Unique")</f>
        <v/>
      </c>
      <c r="P1099" s="7">
        <f>IF(COUNTIF($J$2:$J$1201,J1099)&gt;1,"DUPLICATE","Unique")</f>
        <v/>
      </c>
      <c r="Q1099" s="4">
        <f>IF(TRIM(Raw_Data!L1099)="","Yes","No")</f>
        <v/>
      </c>
      <c r="R1099" s="4">
        <f>IF(ISNUMBER(B1099),"Valid","INVALID")</f>
        <v/>
      </c>
    </row>
    <row r="1100">
      <c r="A1100" s="4">
        <f>TRIM(Raw_Data!A1100)</f>
        <v/>
      </c>
      <c r="B1100" s="5">
        <f>Raw_Data!B1100</f>
        <v/>
      </c>
      <c r="C1100" s="4">
        <f>TRIM(Raw_Data!C1100)</f>
        <v/>
      </c>
      <c r="D1100" s="4">
        <f>PROPER(TRIM(Raw_Data!D1100))</f>
        <v/>
      </c>
      <c r="E1100" s="4">
        <f>Raw_Data!E1100</f>
        <v/>
      </c>
      <c r="F1100" s="6">
        <f>ROUND(Raw_Data!F1100,2)</f>
        <v/>
      </c>
      <c r="G1100" s="4">
        <f>PROPER(TRIM(Raw_Data!G1100))</f>
        <v/>
      </c>
      <c r="H1100" s="4">
        <f>PROPER(TRIM(Raw_Data!H1100))</f>
        <v/>
      </c>
      <c r="I1100" s="4">
        <f>PROPER(TRIM(Raw_Data!I1100))</f>
        <v/>
      </c>
      <c r="J1100" s="4">
        <f>TRIM(Raw_Data!J1100)</f>
        <v/>
      </c>
      <c r="K1100" s="4">
        <f>Raw_Data!K1100</f>
        <v/>
      </c>
      <c r="L1100" s="4">
        <f>IF(TRIM(Raw_Data!L1100)="","No Coupon",TRIM(Raw_Data!L1100))</f>
        <v/>
      </c>
      <c r="M1100" s="4">
        <f>PROPER(TRIM(Raw_Data!M1100))</f>
        <v/>
      </c>
      <c r="N1100" s="6">
        <f>ROUND(Raw_Data!N1100,2)</f>
        <v/>
      </c>
      <c r="O1100" s="7">
        <f>IF(COUNTIF($A$2:$A$1201,A1100)&gt;1,"DUPLICATE","Unique")</f>
        <v/>
      </c>
      <c r="P1100" s="7">
        <f>IF(COUNTIF($J$2:$J$1201,J1100)&gt;1,"DUPLICATE","Unique")</f>
        <v/>
      </c>
      <c r="Q1100" s="4">
        <f>IF(TRIM(Raw_Data!L1100)="","Yes","No")</f>
        <v/>
      </c>
      <c r="R1100" s="4">
        <f>IF(ISNUMBER(B1100),"Valid","INVALID")</f>
        <v/>
      </c>
    </row>
    <row r="1101">
      <c r="A1101" s="4">
        <f>TRIM(Raw_Data!A1101)</f>
        <v/>
      </c>
      <c r="B1101" s="5">
        <f>Raw_Data!B1101</f>
        <v/>
      </c>
      <c r="C1101" s="4">
        <f>TRIM(Raw_Data!C1101)</f>
        <v/>
      </c>
      <c r="D1101" s="4">
        <f>PROPER(TRIM(Raw_Data!D1101))</f>
        <v/>
      </c>
      <c r="E1101" s="4">
        <f>Raw_Data!E1101</f>
        <v/>
      </c>
      <c r="F1101" s="6">
        <f>ROUND(Raw_Data!F1101,2)</f>
        <v/>
      </c>
      <c r="G1101" s="4">
        <f>PROPER(TRIM(Raw_Data!G1101))</f>
        <v/>
      </c>
      <c r="H1101" s="4">
        <f>PROPER(TRIM(Raw_Data!H1101))</f>
        <v/>
      </c>
      <c r="I1101" s="4">
        <f>PROPER(TRIM(Raw_Data!I1101))</f>
        <v/>
      </c>
      <c r="J1101" s="4">
        <f>TRIM(Raw_Data!J1101)</f>
        <v/>
      </c>
      <c r="K1101" s="4">
        <f>Raw_Data!K1101</f>
        <v/>
      </c>
      <c r="L1101" s="4">
        <f>IF(TRIM(Raw_Data!L1101)="","No Coupon",TRIM(Raw_Data!L1101))</f>
        <v/>
      </c>
      <c r="M1101" s="4">
        <f>PROPER(TRIM(Raw_Data!M1101))</f>
        <v/>
      </c>
      <c r="N1101" s="6">
        <f>ROUND(Raw_Data!N1101,2)</f>
        <v/>
      </c>
      <c r="O1101" s="7">
        <f>IF(COUNTIF($A$2:$A$1201,A1101)&gt;1,"DUPLICATE","Unique")</f>
        <v/>
      </c>
      <c r="P1101" s="7">
        <f>IF(COUNTIF($J$2:$J$1201,J1101)&gt;1,"DUPLICATE","Unique")</f>
        <v/>
      </c>
      <c r="Q1101" s="4">
        <f>IF(TRIM(Raw_Data!L1101)="","Yes","No")</f>
        <v/>
      </c>
      <c r="R1101" s="4">
        <f>IF(ISNUMBER(B1101),"Valid","INVALID")</f>
        <v/>
      </c>
    </row>
    <row r="1102">
      <c r="A1102" s="4">
        <f>TRIM(Raw_Data!A1102)</f>
        <v/>
      </c>
      <c r="B1102" s="5">
        <f>Raw_Data!B1102</f>
        <v/>
      </c>
      <c r="C1102" s="4">
        <f>TRIM(Raw_Data!C1102)</f>
        <v/>
      </c>
      <c r="D1102" s="4">
        <f>PROPER(TRIM(Raw_Data!D1102))</f>
        <v/>
      </c>
      <c r="E1102" s="4">
        <f>Raw_Data!E1102</f>
        <v/>
      </c>
      <c r="F1102" s="6">
        <f>ROUND(Raw_Data!F1102,2)</f>
        <v/>
      </c>
      <c r="G1102" s="4">
        <f>PROPER(TRIM(Raw_Data!G1102))</f>
        <v/>
      </c>
      <c r="H1102" s="4">
        <f>PROPER(TRIM(Raw_Data!H1102))</f>
        <v/>
      </c>
      <c r="I1102" s="4">
        <f>PROPER(TRIM(Raw_Data!I1102))</f>
        <v/>
      </c>
      <c r="J1102" s="4">
        <f>TRIM(Raw_Data!J1102)</f>
        <v/>
      </c>
      <c r="K1102" s="4">
        <f>Raw_Data!K1102</f>
        <v/>
      </c>
      <c r="L1102" s="4">
        <f>IF(TRIM(Raw_Data!L1102)="","No Coupon",TRIM(Raw_Data!L1102))</f>
        <v/>
      </c>
      <c r="M1102" s="4">
        <f>PROPER(TRIM(Raw_Data!M1102))</f>
        <v/>
      </c>
      <c r="N1102" s="6">
        <f>ROUND(Raw_Data!N1102,2)</f>
        <v/>
      </c>
      <c r="O1102" s="7">
        <f>IF(COUNTIF($A$2:$A$1201,A1102)&gt;1,"DUPLICATE","Unique")</f>
        <v/>
      </c>
      <c r="P1102" s="7">
        <f>IF(COUNTIF($J$2:$J$1201,J1102)&gt;1,"DUPLICATE","Unique")</f>
        <v/>
      </c>
      <c r="Q1102" s="4">
        <f>IF(TRIM(Raw_Data!L1102)="","Yes","No")</f>
        <v/>
      </c>
      <c r="R1102" s="4">
        <f>IF(ISNUMBER(B1102),"Valid","INVALID")</f>
        <v/>
      </c>
    </row>
    <row r="1103">
      <c r="A1103" s="4">
        <f>TRIM(Raw_Data!A1103)</f>
        <v/>
      </c>
      <c r="B1103" s="5">
        <f>Raw_Data!B1103</f>
        <v/>
      </c>
      <c r="C1103" s="4">
        <f>TRIM(Raw_Data!C1103)</f>
        <v/>
      </c>
      <c r="D1103" s="4">
        <f>PROPER(TRIM(Raw_Data!D1103))</f>
        <v/>
      </c>
      <c r="E1103" s="4">
        <f>Raw_Data!E1103</f>
        <v/>
      </c>
      <c r="F1103" s="6">
        <f>ROUND(Raw_Data!F1103,2)</f>
        <v/>
      </c>
      <c r="G1103" s="4">
        <f>PROPER(TRIM(Raw_Data!G1103))</f>
        <v/>
      </c>
      <c r="H1103" s="4">
        <f>PROPER(TRIM(Raw_Data!H1103))</f>
        <v/>
      </c>
      <c r="I1103" s="4">
        <f>PROPER(TRIM(Raw_Data!I1103))</f>
        <v/>
      </c>
      <c r="J1103" s="4">
        <f>TRIM(Raw_Data!J1103)</f>
        <v/>
      </c>
      <c r="K1103" s="4">
        <f>Raw_Data!K1103</f>
        <v/>
      </c>
      <c r="L1103" s="4">
        <f>IF(TRIM(Raw_Data!L1103)="","No Coupon",TRIM(Raw_Data!L1103))</f>
        <v/>
      </c>
      <c r="M1103" s="4">
        <f>PROPER(TRIM(Raw_Data!M1103))</f>
        <v/>
      </c>
      <c r="N1103" s="6">
        <f>ROUND(Raw_Data!N1103,2)</f>
        <v/>
      </c>
      <c r="O1103" s="7">
        <f>IF(COUNTIF($A$2:$A$1201,A1103)&gt;1,"DUPLICATE","Unique")</f>
        <v/>
      </c>
      <c r="P1103" s="7">
        <f>IF(COUNTIF($J$2:$J$1201,J1103)&gt;1,"DUPLICATE","Unique")</f>
        <v/>
      </c>
      <c r="Q1103" s="4">
        <f>IF(TRIM(Raw_Data!L1103)="","Yes","No")</f>
        <v/>
      </c>
      <c r="R1103" s="4">
        <f>IF(ISNUMBER(B1103),"Valid","INVALID")</f>
        <v/>
      </c>
    </row>
    <row r="1104">
      <c r="A1104" s="4">
        <f>TRIM(Raw_Data!A1104)</f>
        <v/>
      </c>
      <c r="B1104" s="5">
        <f>Raw_Data!B1104</f>
        <v/>
      </c>
      <c r="C1104" s="4">
        <f>TRIM(Raw_Data!C1104)</f>
        <v/>
      </c>
      <c r="D1104" s="4">
        <f>PROPER(TRIM(Raw_Data!D1104))</f>
        <v/>
      </c>
      <c r="E1104" s="4">
        <f>Raw_Data!E1104</f>
        <v/>
      </c>
      <c r="F1104" s="6">
        <f>ROUND(Raw_Data!F1104,2)</f>
        <v/>
      </c>
      <c r="G1104" s="4">
        <f>PROPER(TRIM(Raw_Data!G1104))</f>
        <v/>
      </c>
      <c r="H1104" s="4">
        <f>PROPER(TRIM(Raw_Data!H1104))</f>
        <v/>
      </c>
      <c r="I1104" s="4">
        <f>PROPER(TRIM(Raw_Data!I1104))</f>
        <v/>
      </c>
      <c r="J1104" s="4">
        <f>TRIM(Raw_Data!J1104)</f>
        <v/>
      </c>
      <c r="K1104" s="4">
        <f>Raw_Data!K1104</f>
        <v/>
      </c>
      <c r="L1104" s="4">
        <f>IF(TRIM(Raw_Data!L1104)="","No Coupon",TRIM(Raw_Data!L1104))</f>
        <v/>
      </c>
      <c r="M1104" s="4">
        <f>PROPER(TRIM(Raw_Data!M1104))</f>
        <v/>
      </c>
      <c r="N1104" s="6">
        <f>ROUND(Raw_Data!N1104,2)</f>
        <v/>
      </c>
      <c r="O1104" s="7">
        <f>IF(COUNTIF($A$2:$A$1201,A1104)&gt;1,"DUPLICATE","Unique")</f>
        <v/>
      </c>
      <c r="P1104" s="7">
        <f>IF(COUNTIF($J$2:$J$1201,J1104)&gt;1,"DUPLICATE","Unique")</f>
        <v/>
      </c>
      <c r="Q1104" s="4">
        <f>IF(TRIM(Raw_Data!L1104)="","Yes","No")</f>
        <v/>
      </c>
      <c r="R1104" s="4">
        <f>IF(ISNUMBER(B1104),"Valid","INVALID")</f>
        <v/>
      </c>
    </row>
    <row r="1105">
      <c r="A1105" s="4">
        <f>TRIM(Raw_Data!A1105)</f>
        <v/>
      </c>
      <c r="B1105" s="5">
        <f>Raw_Data!B1105</f>
        <v/>
      </c>
      <c r="C1105" s="4">
        <f>TRIM(Raw_Data!C1105)</f>
        <v/>
      </c>
      <c r="D1105" s="4">
        <f>PROPER(TRIM(Raw_Data!D1105))</f>
        <v/>
      </c>
      <c r="E1105" s="4">
        <f>Raw_Data!E1105</f>
        <v/>
      </c>
      <c r="F1105" s="6">
        <f>ROUND(Raw_Data!F1105,2)</f>
        <v/>
      </c>
      <c r="G1105" s="4">
        <f>PROPER(TRIM(Raw_Data!G1105))</f>
        <v/>
      </c>
      <c r="H1105" s="4">
        <f>PROPER(TRIM(Raw_Data!H1105))</f>
        <v/>
      </c>
      <c r="I1105" s="4">
        <f>PROPER(TRIM(Raw_Data!I1105))</f>
        <v/>
      </c>
      <c r="J1105" s="4">
        <f>TRIM(Raw_Data!J1105)</f>
        <v/>
      </c>
      <c r="K1105" s="4">
        <f>Raw_Data!K1105</f>
        <v/>
      </c>
      <c r="L1105" s="4">
        <f>IF(TRIM(Raw_Data!L1105)="","No Coupon",TRIM(Raw_Data!L1105))</f>
        <v/>
      </c>
      <c r="M1105" s="4">
        <f>PROPER(TRIM(Raw_Data!M1105))</f>
        <v/>
      </c>
      <c r="N1105" s="6">
        <f>ROUND(Raw_Data!N1105,2)</f>
        <v/>
      </c>
      <c r="O1105" s="7">
        <f>IF(COUNTIF($A$2:$A$1201,A1105)&gt;1,"DUPLICATE","Unique")</f>
        <v/>
      </c>
      <c r="P1105" s="7">
        <f>IF(COUNTIF($J$2:$J$1201,J1105)&gt;1,"DUPLICATE","Unique")</f>
        <v/>
      </c>
      <c r="Q1105" s="4">
        <f>IF(TRIM(Raw_Data!L1105)="","Yes","No")</f>
        <v/>
      </c>
      <c r="R1105" s="4">
        <f>IF(ISNUMBER(B1105),"Valid","INVALID")</f>
        <v/>
      </c>
    </row>
    <row r="1106">
      <c r="A1106" s="4">
        <f>TRIM(Raw_Data!A1106)</f>
        <v/>
      </c>
      <c r="B1106" s="5">
        <f>Raw_Data!B1106</f>
        <v/>
      </c>
      <c r="C1106" s="4">
        <f>TRIM(Raw_Data!C1106)</f>
        <v/>
      </c>
      <c r="D1106" s="4">
        <f>PROPER(TRIM(Raw_Data!D1106))</f>
        <v/>
      </c>
      <c r="E1106" s="4">
        <f>Raw_Data!E1106</f>
        <v/>
      </c>
      <c r="F1106" s="6">
        <f>ROUND(Raw_Data!F1106,2)</f>
        <v/>
      </c>
      <c r="G1106" s="4">
        <f>PROPER(TRIM(Raw_Data!G1106))</f>
        <v/>
      </c>
      <c r="H1106" s="4">
        <f>PROPER(TRIM(Raw_Data!H1106))</f>
        <v/>
      </c>
      <c r="I1106" s="4">
        <f>PROPER(TRIM(Raw_Data!I1106))</f>
        <v/>
      </c>
      <c r="J1106" s="4">
        <f>TRIM(Raw_Data!J1106)</f>
        <v/>
      </c>
      <c r="K1106" s="4">
        <f>Raw_Data!K1106</f>
        <v/>
      </c>
      <c r="L1106" s="4">
        <f>IF(TRIM(Raw_Data!L1106)="","No Coupon",TRIM(Raw_Data!L1106))</f>
        <v/>
      </c>
      <c r="M1106" s="4">
        <f>PROPER(TRIM(Raw_Data!M1106))</f>
        <v/>
      </c>
      <c r="N1106" s="6">
        <f>ROUND(Raw_Data!N1106,2)</f>
        <v/>
      </c>
      <c r="O1106" s="7">
        <f>IF(COUNTIF($A$2:$A$1201,A1106)&gt;1,"DUPLICATE","Unique")</f>
        <v/>
      </c>
      <c r="P1106" s="7">
        <f>IF(COUNTIF($J$2:$J$1201,J1106)&gt;1,"DUPLICATE","Unique")</f>
        <v/>
      </c>
      <c r="Q1106" s="4">
        <f>IF(TRIM(Raw_Data!L1106)="","Yes","No")</f>
        <v/>
      </c>
      <c r="R1106" s="4">
        <f>IF(ISNUMBER(B1106),"Valid","INVALID")</f>
        <v/>
      </c>
    </row>
    <row r="1107">
      <c r="A1107" s="4">
        <f>TRIM(Raw_Data!A1107)</f>
        <v/>
      </c>
      <c r="B1107" s="5">
        <f>Raw_Data!B1107</f>
        <v/>
      </c>
      <c r="C1107" s="4">
        <f>TRIM(Raw_Data!C1107)</f>
        <v/>
      </c>
      <c r="D1107" s="4">
        <f>PROPER(TRIM(Raw_Data!D1107))</f>
        <v/>
      </c>
      <c r="E1107" s="4">
        <f>Raw_Data!E1107</f>
        <v/>
      </c>
      <c r="F1107" s="6">
        <f>ROUND(Raw_Data!F1107,2)</f>
        <v/>
      </c>
      <c r="G1107" s="4">
        <f>PROPER(TRIM(Raw_Data!G1107))</f>
        <v/>
      </c>
      <c r="H1107" s="4">
        <f>PROPER(TRIM(Raw_Data!H1107))</f>
        <v/>
      </c>
      <c r="I1107" s="4">
        <f>PROPER(TRIM(Raw_Data!I1107))</f>
        <v/>
      </c>
      <c r="J1107" s="4">
        <f>TRIM(Raw_Data!J1107)</f>
        <v/>
      </c>
      <c r="K1107" s="4">
        <f>Raw_Data!K1107</f>
        <v/>
      </c>
      <c r="L1107" s="4">
        <f>IF(TRIM(Raw_Data!L1107)="","No Coupon",TRIM(Raw_Data!L1107))</f>
        <v/>
      </c>
      <c r="M1107" s="4">
        <f>PROPER(TRIM(Raw_Data!M1107))</f>
        <v/>
      </c>
      <c r="N1107" s="6">
        <f>ROUND(Raw_Data!N1107,2)</f>
        <v/>
      </c>
      <c r="O1107" s="7">
        <f>IF(COUNTIF($A$2:$A$1201,A1107)&gt;1,"DUPLICATE","Unique")</f>
        <v/>
      </c>
      <c r="P1107" s="7">
        <f>IF(COUNTIF($J$2:$J$1201,J1107)&gt;1,"DUPLICATE","Unique")</f>
        <v/>
      </c>
      <c r="Q1107" s="4">
        <f>IF(TRIM(Raw_Data!L1107)="","Yes","No")</f>
        <v/>
      </c>
      <c r="R1107" s="4">
        <f>IF(ISNUMBER(B1107),"Valid","INVALID")</f>
        <v/>
      </c>
    </row>
    <row r="1108">
      <c r="A1108" s="4">
        <f>TRIM(Raw_Data!A1108)</f>
        <v/>
      </c>
      <c r="B1108" s="5">
        <f>Raw_Data!B1108</f>
        <v/>
      </c>
      <c r="C1108" s="4">
        <f>TRIM(Raw_Data!C1108)</f>
        <v/>
      </c>
      <c r="D1108" s="4">
        <f>PROPER(TRIM(Raw_Data!D1108))</f>
        <v/>
      </c>
      <c r="E1108" s="4">
        <f>Raw_Data!E1108</f>
        <v/>
      </c>
      <c r="F1108" s="6">
        <f>ROUND(Raw_Data!F1108,2)</f>
        <v/>
      </c>
      <c r="G1108" s="4">
        <f>PROPER(TRIM(Raw_Data!G1108))</f>
        <v/>
      </c>
      <c r="H1108" s="4">
        <f>PROPER(TRIM(Raw_Data!H1108))</f>
        <v/>
      </c>
      <c r="I1108" s="4">
        <f>PROPER(TRIM(Raw_Data!I1108))</f>
        <v/>
      </c>
      <c r="J1108" s="4">
        <f>TRIM(Raw_Data!J1108)</f>
        <v/>
      </c>
      <c r="K1108" s="4">
        <f>Raw_Data!K1108</f>
        <v/>
      </c>
      <c r="L1108" s="4">
        <f>IF(TRIM(Raw_Data!L1108)="","No Coupon",TRIM(Raw_Data!L1108))</f>
        <v/>
      </c>
      <c r="M1108" s="4">
        <f>PROPER(TRIM(Raw_Data!M1108))</f>
        <v/>
      </c>
      <c r="N1108" s="6">
        <f>ROUND(Raw_Data!N1108,2)</f>
        <v/>
      </c>
      <c r="O1108" s="7">
        <f>IF(COUNTIF($A$2:$A$1201,A1108)&gt;1,"DUPLICATE","Unique")</f>
        <v/>
      </c>
      <c r="P1108" s="7">
        <f>IF(COUNTIF($J$2:$J$1201,J1108)&gt;1,"DUPLICATE","Unique")</f>
        <v/>
      </c>
      <c r="Q1108" s="4">
        <f>IF(TRIM(Raw_Data!L1108)="","Yes","No")</f>
        <v/>
      </c>
      <c r="R1108" s="4">
        <f>IF(ISNUMBER(B1108),"Valid","INVALID")</f>
        <v/>
      </c>
    </row>
    <row r="1109">
      <c r="A1109" s="4">
        <f>TRIM(Raw_Data!A1109)</f>
        <v/>
      </c>
      <c r="B1109" s="5">
        <f>Raw_Data!B1109</f>
        <v/>
      </c>
      <c r="C1109" s="4">
        <f>TRIM(Raw_Data!C1109)</f>
        <v/>
      </c>
      <c r="D1109" s="4">
        <f>PROPER(TRIM(Raw_Data!D1109))</f>
        <v/>
      </c>
      <c r="E1109" s="4">
        <f>Raw_Data!E1109</f>
        <v/>
      </c>
      <c r="F1109" s="6">
        <f>ROUND(Raw_Data!F1109,2)</f>
        <v/>
      </c>
      <c r="G1109" s="4">
        <f>PROPER(TRIM(Raw_Data!G1109))</f>
        <v/>
      </c>
      <c r="H1109" s="4">
        <f>PROPER(TRIM(Raw_Data!H1109))</f>
        <v/>
      </c>
      <c r="I1109" s="4">
        <f>PROPER(TRIM(Raw_Data!I1109))</f>
        <v/>
      </c>
      <c r="J1109" s="4">
        <f>TRIM(Raw_Data!J1109)</f>
        <v/>
      </c>
      <c r="K1109" s="4">
        <f>Raw_Data!K1109</f>
        <v/>
      </c>
      <c r="L1109" s="4">
        <f>IF(TRIM(Raw_Data!L1109)="","No Coupon",TRIM(Raw_Data!L1109))</f>
        <v/>
      </c>
      <c r="M1109" s="4">
        <f>PROPER(TRIM(Raw_Data!M1109))</f>
        <v/>
      </c>
      <c r="N1109" s="6">
        <f>ROUND(Raw_Data!N1109,2)</f>
        <v/>
      </c>
      <c r="O1109" s="7">
        <f>IF(COUNTIF($A$2:$A$1201,A1109)&gt;1,"DUPLICATE","Unique")</f>
        <v/>
      </c>
      <c r="P1109" s="7">
        <f>IF(COUNTIF($J$2:$J$1201,J1109)&gt;1,"DUPLICATE","Unique")</f>
        <v/>
      </c>
      <c r="Q1109" s="4">
        <f>IF(TRIM(Raw_Data!L1109)="","Yes","No")</f>
        <v/>
      </c>
      <c r="R1109" s="4">
        <f>IF(ISNUMBER(B1109),"Valid","INVALID")</f>
        <v/>
      </c>
    </row>
    <row r="1110">
      <c r="A1110" s="4">
        <f>TRIM(Raw_Data!A1110)</f>
        <v/>
      </c>
      <c r="B1110" s="5">
        <f>Raw_Data!B1110</f>
        <v/>
      </c>
      <c r="C1110" s="4">
        <f>TRIM(Raw_Data!C1110)</f>
        <v/>
      </c>
      <c r="D1110" s="4">
        <f>PROPER(TRIM(Raw_Data!D1110))</f>
        <v/>
      </c>
      <c r="E1110" s="4">
        <f>Raw_Data!E1110</f>
        <v/>
      </c>
      <c r="F1110" s="6">
        <f>ROUND(Raw_Data!F1110,2)</f>
        <v/>
      </c>
      <c r="G1110" s="4">
        <f>PROPER(TRIM(Raw_Data!G1110))</f>
        <v/>
      </c>
      <c r="H1110" s="4">
        <f>PROPER(TRIM(Raw_Data!H1110))</f>
        <v/>
      </c>
      <c r="I1110" s="4">
        <f>PROPER(TRIM(Raw_Data!I1110))</f>
        <v/>
      </c>
      <c r="J1110" s="4">
        <f>TRIM(Raw_Data!J1110)</f>
        <v/>
      </c>
      <c r="K1110" s="4">
        <f>Raw_Data!K1110</f>
        <v/>
      </c>
      <c r="L1110" s="4">
        <f>IF(TRIM(Raw_Data!L1110)="","No Coupon",TRIM(Raw_Data!L1110))</f>
        <v/>
      </c>
      <c r="M1110" s="4">
        <f>PROPER(TRIM(Raw_Data!M1110))</f>
        <v/>
      </c>
      <c r="N1110" s="6">
        <f>ROUND(Raw_Data!N1110,2)</f>
        <v/>
      </c>
      <c r="O1110" s="7">
        <f>IF(COUNTIF($A$2:$A$1201,A1110)&gt;1,"DUPLICATE","Unique")</f>
        <v/>
      </c>
      <c r="P1110" s="7">
        <f>IF(COUNTIF($J$2:$J$1201,J1110)&gt;1,"DUPLICATE","Unique")</f>
        <v/>
      </c>
      <c r="Q1110" s="4">
        <f>IF(TRIM(Raw_Data!L1110)="","Yes","No")</f>
        <v/>
      </c>
      <c r="R1110" s="4">
        <f>IF(ISNUMBER(B1110),"Valid","INVALID")</f>
        <v/>
      </c>
    </row>
    <row r="1111">
      <c r="A1111" s="4">
        <f>TRIM(Raw_Data!A1111)</f>
        <v/>
      </c>
      <c r="B1111" s="5">
        <f>Raw_Data!B1111</f>
        <v/>
      </c>
      <c r="C1111" s="4">
        <f>TRIM(Raw_Data!C1111)</f>
        <v/>
      </c>
      <c r="D1111" s="4">
        <f>PROPER(TRIM(Raw_Data!D1111))</f>
        <v/>
      </c>
      <c r="E1111" s="4">
        <f>Raw_Data!E1111</f>
        <v/>
      </c>
      <c r="F1111" s="6">
        <f>ROUND(Raw_Data!F1111,2)</f>
        <v/>
      </c>
      <c r="G1111" s="4">
        <f>PROPER(TRIM(Raw_Data!G1111))</f>
        <v/>
      </c>
      <c r="H1111" s="4">
        <f>PROPER(TRIM(Raw_Data!H1111))</f>
        <v/>
      </c>
      <c r="I1111" s="4">
        <f>PROPER(TRIM(Raw_Data!I1111))</f>
        <v/>
      </c>
      <c r="J1111" s="4">
        <f>TRIM(Raw_Data!J1111)</f>
        <v/>
      </c>
      <c r="K1111" s="4">
        <f>Raw_Data!K1111</f>
        <v/>
      </c>
      <c r="L1111" s="4">
        <f>IF(TRIM(Raw_Data!L1111)="","No Coupon",TRIM(Raw_Data!L1111))</f>
        <v/>
      </c>
      <c r="M1111" s="4">
        <f>PROPER(TRIM(Raw_Data!M1111))</f>
        <v/>
      </c>
      <c r="N1111" s="6">
        <f>ROUND(Raw_Data!N1111,2)</f>
        <v/>
      </c>
      <c r="O1111" s="7">
        <f>IF(COUNTIF($A$2:$A$1201,A1111)&gt;1,"DUPLICATE","Unique")</f>
        <v/>
      </c>
      <c r="P1111" s="7">
        <f>IF(COUNTIF($J$2:$J$1201,J1111)&gt;1,"DUPLICATE","Unique")</f>
        <v/>
      </c>
      <c r="Q1111" s="4">
        <f>IF(TRIM(Raw_Data!L1111)="","Yes","No")</f>
        <v/>
      </c>
      <c r="R1111" s="4">
        <f>IF(ISNUMBER(B1111),"Valid","INVALID")</f>
        <v/>
      </c>
    </row>
    <row r="1112">
      <c r="A1112" s="4">
        <f>TRIM(Raw_Data!A1112)</f>
        <v/>
      </c>
      <c r="B1112" s="5">
        <f>Raw_Data!B1112</f>
        <v/>
      </c>
      <c r="C1112" s="4">
        <f>TRIM(Raw_Data!C1112)</f>
        <v/>
      </c>
      <c r="D1112" s="4">
        <f>PROPER(TRIM(Raw_Data!D1112))</f>
        <v/>
      </c>
      <c r="E1112" s="4">
        <f>Raw_Data!E1112</f>
        <v/>
      </c>
      <c r="F1112" s="6">
        <f>ROUND(Raw_Data!F1112,2)</f>
        <v/>
      </c>
      <c r="G1112" s="4">
        <f>PROPER(TRIM(Raw_Data!G1112))</f>
        <v/>
      </c>
      <c r="H1112" s="4">
        <f>PROPER(TRIM(Raw_Data!H1112))</f>
        <v/>
      </c>
      <c r="I1112" s="4">
        <f>PROPER(TRIM(Raw_Data!I1112))</f>
        <v/>
      </c>
      <c r="J1112" s="4">
        <f>TRIM(Raw_Data!J1112)</f>
        <v/>
      </c>
      <c r="K1112" s="4">
        <f>Raw_Data!K1112</f>
        <v/>
      </c>
      <c r="L1112" s="4">
        <f>IF(TRIM(Raw_Data!L1112)="","No Coupon",TRIM(Raw_Data!L1112))</f>
        <v/>
      </c>
      <c r="M1112" s="4">
        <f>PROPER(TRIM(Raw_Data!M1112))</f>
        <v/>
      </c>
      <c r="N1112" s="6">
        <f>ROUND(Raw_Data!N1112,2)</f>
        <v/>
      </c>
      <c r="O1112" s="7">
        <f>IF(COUNTIF($A$2:$A$1201,A1112)&gt;1,"DUPLICATE","Unique")</f>
        <v/>
      </c>
      <c r="P1112" s="7">
        <f>IF(COUNTIF($J$2:$J$1201,J1112)&gt;1,"DUPLICATE","Unique")</f>
        <v/>
      </c>
      <c r="Q1112" s="4">
        <f>IF(TRIM(Raw_Data!L1112)="","Yes","No")</f>
        <v/>
      </c>
      <c r="R1112" s="4">
        <f>IF(ISNUMBER(B1112),"Valid","INVALID")</f>
        <v/>
      </c>
    </row>
    <row r="1113">
      <c r="A1113" s="4">
        <f>TRIM(Raw_Data!A1113)</f>
        <v/>
      </c>
      <c r="B1113" s="5">
        <f>Raw_Data!B1113</f>
        <v/>
      </c>
      <c r="C1113" s="4">
        <f>TRIM(Raw_Data!C1113)</f>
        <v/>
      </c>
      <c r="D1113" s="4">
        <f>PROPER(TRIM(Raw_Data!D1113))</f>
        <v/>
      </c>
      <c r="E1113" s="4">
        <f>Raw_Data!E1113</f>
        <v/>
      </c>
      <c r="F1113" s="6">
        <f>ROUND(Raw_Data!F1113,2)</f>
        <v/>
      </c>
      <c r="G1113" s="4">
        <f>PROPER(TRIM(Raw_Data!G1113))</f>
        <v/>
      </c>
      <c r="H1113" s="4">
        <f>PROPER(TRIM(Raw_Data!H1113))</f>
        <v/>
      </c>
      <c r="I1113" s="4">
        <f>PROPER(TRIM(Raw_Data!I1113))</f>
        <v/>
      </c>
      <c r="J1113" s="4">
        <f>TRIM(Raw_Data!J1113)</f>
        <v/>
      </c>
      <c r="K1113" s="4">
        <f>Raw_Data!K1113</f>
        <v/>
      </c>
      <c r="L1113" s="4">
        <f>IF(TRIM(Raw_Data!L1113)="","No Coupon",TRIM(Raw_Data!L1113))</f>
        <v/>
      </c>
      <c r="M1113" s="4">
        <f>PROPER(TRIM(Raw_Data!M1113))</f>
        <v/>
      </c>
      <c r="N1113" s="6">
        <f>ROUND(Raw_Data!N1113,2)</f>
        <v/>
      </c>
      <c r="O1113" s="7">
        <f>IF(COUNTIF($A$2:$A$1201,A1113)&gt;1,"DUPLICATE","Unique")</f>
        <v/>
      </c>
      <c r="P1113" s="7">
        <f>IF(COUNTIF($J$2:$J$1201,J1113)&gt;1,"DUPLICATE","Unique")</f>
        <v/>
      </c>
      <c r="Q1113" s="4">
        <f>IF(TRIM(Raw_Data!L1113)="","Yes","No")</f>
        <v/>
      </c>
      <c r="R1113" s="4">
        <f>IF(ISNUMBER(B1113),"Valid","INVALID")</f>
        <v/>
      </c>
    </row>
    <row r="1114">
      <c r="A1114" s="4">
        <f>TRIM(Raw_Data!A1114)</f>
        <v/>
      </c>
      <c r="B1114" s="5">
        <f>Raw_Data!B1114</f>
        <v/>
      </c>
      <c r="C1114" s="4">
        <f>TRIM(Raw_Data!C1114)</f>
        <v/>
      </c>
      <c r="D1114" s="4">
        <f>PROPER(TRIM(Raw_Data!D1114))</f>
        <v/>
      </c>
      <c r="E1114" s="4">
        <f>Raw_Data!E1114</f>
        <v/>
      </c>
      <c r="F1114" s="6">
        <f>ROUND(Raw_Data!F1114,2)</f>
        <v/>
      </c>
      <c r="G1114" s="4">
        <f>PROPER(TRIM(Raw_Data!G1114))</f>
        <v/>
      </c>
      <c r="H1114" s="4">
        <f>PROPER(TRIM(Raw_Data!H1114))</f>
        <v/>
      </c>
      <c r="I1114" s="4">
        <f>PROPER(TRIM(Raw_Data!I1114))</f>
        <v/>
      </c>
      <c r="J1114" s="4">
        <f>TRIM(Raw_Data!J1114)</f>
        <v/>
      </c>
      <c r="K1114" s="4">
        <f>Raw_Data!K1114</f>
        <v/>
      </c>
      <c r="L1114" s="4">
        <f>IF(TRIM(Raw_Data!L1114)="","No Coupon",TRIM(Raw_Data!L1114))</f>
        <v/>
      </c>
      <c r="M1114" s="4">
        <f>PROPER(TRIM(Raw_Data!M1114))</f>
        <v/>
      </c>
      <c r="N1114" s="6">
        <f>ROUND(Raw_Data!N1114,2)</f>
        <v/>
      </c>
      <c r="O1114" s="7">
        <f>IF(COUNTIF($A$2:$A$1201,A1114)&gt;1,"DUPLICATE","Unique")</f>
        <v/>
      </c>
      <c r="P1114" s="7">
        <f>IF(COUNTIF($J$2:$J$1201,J1114)&gt;1,"DUPLICATE","Unique")</f>
        <v/>
      </c>
      <c r="Q1114" s="4">
        <f>IF(TRIM(Raw_Data!L1114)="","Yes","No")</f>
        <v/>
      </c>
      <c r="R1114" s="4">
        <f>IF(ISNUMBER(B1114),"Valid","INVALID")</f>
        <v/>
      </c>
    </row>
    <row r="1115">
      <c r="A1115" s="4">
        <f>TRIM(Raw_Data!A1115)</f>
        <v/>
      </c>
      <c r="B1115" s="5">
        <f>Raw_Data!B1115</f>
        <v/>
      </c>
      <c r="C1115" s="4">
        <f>TRIM(Raw_Data!C1115)</f>
        <v/>
      </c>
      <c r="D1115" s="4">
        <f>PROPER(TRIM(Raw_Data!D1115))</f>
        <v/>
      </c>
      <c r="E1115" s="4">
        <f>Raw_Data!E1115</f>
        <v/>
      </c>
      <c r="F1115" s="6">
        <f>ROUND(Raw_Data!F1115,2)</f>
        <v/>
      </c>
      <c r="G1115" s="4">
        <f>PROPER(TRIM(Raw_Data!G1115))</f>
        <v/>
      </c>
      <c r="H1115" s="4">
        <f>PROPER(TRIM(Raw_Data!H1115))</f>
        <v/>
      </c>
      <c r="I1115" s="4">
        <f>PROPER(TRIM(Raw_Data!I1115))</f>
        <v/>
      </c>
      <c r="J1115" s="4">
        <f>TRIM(Raw_Data!J1115)</f>
        <v/>
      </c>
      <c r="K1115" s="4">
        <f>Raw_Data!K1115</f>
        <v/>
      </c>
      <c r="L1115" s="4">
        <f>IF(TRIM(Raw_Data!L1115)="","No Coupon",TRIM(Raw_Data!L1115))</f>
        <v/>
      </c>
      <c r="M1115" s="4">
        <f>PROPER(TRIM(Raw_Data!M1115))</f>
        <v/>
      </c>
      <c r="N1115" s="6">
        <f>ROUND(Raw_Data!N1115,2)</f>
        <v/>
      </c>
      <c r="O1115" s="7">
        <f>IF(COUNTIF($A$2:$A$1201,A1115)&gt;1,"DUPLICATE","Unique")</f>
        <v/>
      </c>
      <c r="P1115" s="7">
        <f>IF(COUNTIF($J$2:$J$1201,J1115)&gt;1,"DUPLICATE","Unique")</f>
        <v/>
      </c>
      <c r="Q1115" s="4">
        <f>IF(TRIM(Raw_Data!L1115)="","Yes","No")</f>
        <v/>
      </c>
      <c r="R1115" s="4">
        <f>IF(ISNUMBER(B1115),"Valid","INVALID")</f>
        <v/>
      </c>
    </row>
    <row r="1116">
      <c r="A1116" s="4">
        <f>TRIM(Raw_Data!A1116)</f>
        <v/>
      </c>
      <c r="B1116" s="5">
        <f>Raw_Data!B1116</f>
        <v/>
      </c>
      <c r="C1116" s="4">
        <f>TRIM(Raw_Data!C1116)</f>
        <v/>
      </c>
      <c r="D1116" s="4">
        <f>PROPER(TRIM(Raw_Data!D1116))</f>
        <v/>
      </c>
      <c r="E1116" s="4">
        <f>Raw_Data!E1116</f>
        <v/>
      </c>
      <c r="F1116" s="6">
        <f>ROUND(Raw_Data!F1116,2)</f>
        <v/>
      </c>
      <c r="G1116" s="4">
        <f>PROPER(TRIM(Raw_Data!G1116))</f>
        <v/>
      </c>
      <c r="H1116" s="4">
        <f>PROPER(TRIM(Raw_Data!H1116))</f>
        <v/>
      </c>
      <c r="I1116" s="4">
        <f>PROPER(TRIM(Raw_Data!I1116))</f>
        <v/>
      </c>
      <c r="J1116" s="4">
        <f>TRIM(Raw_Data!J1116)</f>
        <v/>
      </c>
      <c r="K1116" s="4">
        <f>Raw_Data!K1116</f>
        <v/>
      </c>
      <c r="L1116" s="4">
        <f>IF(TRIM(Raw_Data!L1116)="","No Coupon",TRIM(Raw_Data!L1116))</f>
        <v/>
      </c>
      <c r="M1116" s="4">
        <f>PROPER(TRIM(Raw_Data!M1116))</f>
        <v/>
      </c>
      <c r="N1116" s="6">
        <f>ROUND(Raw_Data!N1116,2)</f>
        <v/>
      </c>
      <c r="O1116" s="7">
        <f>IF(COUNTIF($A$2:$A$1201,A1116)&gt;1,"DUPLICATE","Unique")</f>
        <v/>
      </c>
      <c r="P1116" s="7">
        <f>IF(COUNTIF($J$2:$J$1201,J1116)&gt;1,"DUPLICATE","Unique")</f>
        <v/>
      </c>
      <c r="Q1116" s="4">
        <f>IF(TRIM(Raw_Data!L1116)="","Yes","No")</f>
        <v/>
      </c>
      <c r="R1116" s="4">
        <f>IF(ISNUMBER(B1116),"Valid","INVALID")</f>
        <v/>
      </c>
    </row>
    <row r="1117">
      <c r="A1117" s="4">
        <f>TRIM(Raw_Data!A1117)</f>
        <v/>
      </c>
      <c r="B1117" s="5">
        <f>Raw_Data!B1117</f>
        <v/>
      </c>
      <c r="C1117" s="4">
        <f>TRIM(Raw_Data!C1117)</f>
        <v/>
      </c>
      <c r="D1117" s="4">
        <f>PROPER(TRIM(Raw_Data!D1117))</f>
        <v/>
      </c>
      <c r="E1117" s="4">
        <f>Raw_Data!E1117</f>
        <v/>
      </c>
      <c r="F1117" s="6">
        <f>ROUND(Raw_Data!F1117,2)</f>
        <v/>
      </c>
      <c r="G1117" s="4">
        <f>PROPER(TRIM(Raw_Data!G1117))</f>
        <v/>
      </c>
      <c r="H1117" s="4">
        <f>PROPER(TRIM(Raw_Data!H1117))</f>
        <v/>
      </c>
      <c r="I1117" s="4">
        <f>PROPER(TRIM(Raw_Data!I1117))</f>
        <v/>
      </c>
      <c r="J1117" s="4">
        <f>TRIM(Raw_Data!J1117)</f>
        <v/>
      </c>
      <c r="K1117" s="4">
        <f>Raw_Data!K1117</f>
        <v/>
      </c>
      <c r="L1117" s="4">
        <f>IF(TRIM(Raw_Data!L1117)="","No Coupon",TRIM(Raw_Data!L1117))</f>
        <v/>
      </c>
      <c r="M1117" s="4">
        <f>PROPER(TRIM(Raw_Data!M1117))</f>
        <v/>
      </c>
      <c r="N1117" s="6">
        <f>ROUND(Raw_Data!N1117,2)</f>
        <v/>
      </c>
      <c r="O1117" s="7">
        <f>IF(COUNTIF($A$2:$A$1201,A1117)&gt;1,"DUPLICATE","Unique")</f>
        <v/>
      </c>
      <c r="P1117" s="7">
        <f>IF(COUNTIF($J$2:$J$1201,J1117)&gt;1,"DUPLICATE","Unique")</f>
        <v/>
      </c>
      <c r="Q1117" s="4">
        <f>IF(TRIM(Raw_Data!L1117)="","Yes","No")</f>
        <v/>
      </c>
      <c r="R1117" s="4">
        <f>IF(ISNUMBER(B1117),"Valid","INVALID")</f>
        <v/>
      </c>
    </row>
    <row r="1118">
      <c r="A1118" s="4">
        <f>TRIM(Raw_Data!A1118)</f>
        <v/>
      </c>
      <c r="B1118" s="5">
        <f>Raw_Data!B1118</f>
        <v/>
      </c>
      <c r="C1118" s="4">
        <f>TRIM(Raw_Data!C1118)</f>
        <v/>
      </c>
      <c r="D1118" s="4">
        <f>PROPER(TRIM(Raw_Data!D1118))</f>
        <v/>
      </c>
      <c r="E1118" s="4">
        <f>Raw_Data!E1118</f>
        <v/>
      </c>
      <c r="F1118" s="6">
        <f>ROUND(Raw_Data!F1118,2)</f>
        <v/>
      </c>
      <c r="G1118" s="4">
        <f>PROPER(TRIM(Raw_Data!G1118))</f>
        <v/>
      </c>
      <c r="H1118" s="4">
        <f>PROPER(TRIM(Raw_Data!H1118))</f>
        <v/>
      </c>
      <c r="I1118" s="4">
        <f>PROPER(TRIM(Raw_Data!I1118))</f>
        <v/>
      </c>
      <c r="J1118" s="4">
        <f>TRIM(Raw_Data!J1118)</f>
        <v/>
      </c>
      <c r="K1118" s="4">
        <f>Raw_Data!K1118</f>
        <v/>
      </c>
      <c r="L1118" s="4">
        <f>IF(TRIM(Raw_Data!L1118)="","No Coupon",TRIM(Raw_Data!L1118))</f>
        <v/>
      </c>
      <c r="M1118" s="4">
        <f>PROPER(TRIM(Raw_Data!M1118))</f>
        <v/>
      </c>
      <c r="N1118" s="6">
        <f>ROUND(Raw_Data!N1118,2)</f>
        <v/>
      </c>
      <c r="O1118" s="7">
        <f>IF(COUNTIF($A$2:$A$1201,A1118)&gt;1,"DUPLICATE","Unique")</f>
        <v/>
      </c>
      <c r="P1118" s="7">
        <f>IF(COUNTIF($J$2:$J$1201,J1118)&gt;1,"DUPLICATE","Unique")</f>
        <v/>
      </c>
      <c r="Q1118" s="4">
        <f>IF(TRIM(Raw_Data!L1118)="","Yes","No")</f>
        <v/>
      </c>
      <c r="R1118" s="4">
        <f>IF(ISNUMBER(B1118),"Valid","INVALID")</f>
        <v/>
      </c>
    </row>
    <row r="1119">
      <c r="A1119" s="4">
        <f>TRIM(Raw_Data!A1119)</f>
        <v/>
      </c>
      <c r="B1119" s="5">
        <f>Raw_Data!B1119</f>
        <v/>
      </c>
      <c r="C1119" s="4">
        <f>TRIM(Raw_Data!C1119)</f>
        <v/>
      </c>
      <c r="D1119" s="4">
        <f>PROPER(TRIM(Raw_Data!D1119))</f>
        <v/>
      </c>
      <c r="E1119" s="4">
        <f>Raw_Data!E1119</f>
        <v/>
      </c>
      <c r="F1119" s="6">
        <f>ROUND(Raw_Data!F1119,2)</f>
        <v/>
      </c>
      <c r="G1119" s="4">
        <f>PROPER(TRIM(Raw_Data!G1119))</f>
        <v/>
      </c>
      <c r="H1119" s="4">
        <f>PROPER(TRIM(Raw_Data!H1119))</f>
        <v/>
      </c>
      <c r="I1119" s="4">
        <f>PROPER(TRIM(Raw_Data!I1119))</f>
        <v/>
      </c>
      <c r="J1119" s="4">
        <f>TRIM(Raw_Data!J1119)</f>
        <v/>
      </c>
      <c r="K1119" s="4">
        <f>Raw_Data!K1119</f>
        <v/>
      </c>
      <c r="L1119" s="4">
        <f>IF(TRIM(Raw_Data!L1119)="","No Coupon",TRIM(Raw_Data!L1119))</f>
        <v/>
      </c>
      <c r="M1119" s="4">
        <f>PROPER(TRIM(Raw_Data!M1119))</f>
        <v/>
      </c>
      <c r="N1119" s="6">
        <f>ROUND(Raw_Data!N1119,2)</f>
        <v/>
      </c>
      <c r="O1119" s="7">
        <f>IF(COUNTIF($A$2:$A$1201,A1119)&gt;1,"DUPLICATE","Unique")</f>
        <v/>
      </c>
      <c r="P1119" s="7">
        <f>IF(COUNTIF($J$2:$J$1201,J1119)&gt;1,"DUPLICATE","Unique")</f>
        <v/>
      </c>
      <c r="Q1119" s="4">
        <f>IF(TRIM(Raw_Data!L1119)="","Yes","No")</f>
        <v/>
      </c>
      <c r="R1119" s="4">
        <f>IF(ISNUMBER(B1119),"Valid","INVALID")</f>
        <v/>
      </c>
    </row>
    <row r="1120">
      <c r="A1120" s="4">
        <f>TRIM(Raw_Data!A1120)</f>
        <v/>
      </c>
      <c r="B1120" s="5">
        <f>Raw_Data!B1120</f>
        <v/>
      </c>
      <c r="C1120" s="4">
        <f>TRIM(Raw_Data!C1120)</f>
        <v/>
      </c>
      <c r="D1120" s="4">
        <f>PROPER(TRIM(Raw_Data!D1120))</f>
        <v/>
      </c>
      <c r="E1120" s="4">
        <f>Raw_Data!E1120</f>
        <v/>
      </c>
      <c r="F1120" s="6">
        <f>ROUND(Raw_Data!F1120,2)</f>
        <v/>
      </c>
      <c r="G1120" s="4">
        <f>PROPER(TRIM(Raw_Data!G1120))</f>
        <v/>
      </c>
      <c r="H1120" s="4">
        <f>PROPER(TRIM(Raw_Data!H1120))</f>
        <v/>
      </c>
      <c r="I1120" s="4">
        <f>PROPER(TRIM(Raw_Data!I1120))</f>
        <v/>
      </c>
      <c r="J1120" s="4">
        <f>TRIM(Raw_Data!J1120)</f>
        <v/>
      </c>
      <c r="K1120" s="4">
        <f>Raw_Data!K1120</f>
        <v/>
      </c>
      <c r="L1120" s="4">
        <f>IF(TRIM(Raw_Data!L1120)="","No Coupon",TRIM(Raw_Data!L1120))</f>
        <v/>
      </c>
      <c r="M1120" s="4">
        <f>PROPER(TRIM(Raw_Data!M1120))</f>
        <v/>
      </c>
      <c r="N1120" s="6">
        <f>ROUND(Raw_Data!N1120,2)</f>
        <v/>
      </c>
      <c r="O1120" s="7">
        <f>IF(COUNTIF($A$2:$A$1201,A1120)&gt;1,"DUPLICATE","Unique")</f>
        <v/>
      </c>
      <c r="P1120" s="7">
        <f>IF(COUNTIF($J$2:$J$1201,J1120)&gt;1,"DUPLICATE","Unique")</f>
        <v/>
      </c>
      <c r="Q1120" s="4">
        <f>IF(TRIM(Raw_Data!L1120)="","Yes","No")</f>
        <v/>
      </c>
      <c r="R1120" s="4">
        <f>IF(ISNUMBER(B1120),"Valid","INVALID")</f>
        <v/>
      </c>
    </row>
    <row r="1121">
      <c r="A1121" s="4">
        <f>TRIM(Raw_Data!A1121)</f>
        <v/>
      </c>
      <c r="B1121" s="5">
        <f>Raw_Data!B1121</f>
        <v/>
      </c>
      <c r="C1121" s="4">
        <f>TRIM(Raw_Data!C1121)</f>
        <v/>
      </c>
      <c r="D1121" s="4">
        <f>PROPER(TRIM(Raw_Data!D1121))</f>
        <v/>
      </c>
      <c r="E1121" s="4">
        <f>Raw_Data!E1121</f>
        <v/>
      </c>
      <c r="F1121" s="6">
        <f>ROUND(Raw_Data!F1121,2)</f>
        <v/>
      </c>
      <c r="G1121" s="4">
        <f>PROPER(TRIM(Raw_Data!G1121))</f>
        <v/>
      </c>
      <c r="H1121" s="4">
        <f>PROPER(TRIM(Raw_Data!H1121))</f>
        <v/>
      </c>
      <c r="I1121" s="4">
        <f>PROPER(TRIM(Raw_Data!I1121))</f>
        <v/>
      </c>
      <c r="J1121" s="4">
        <f>TRIM(Raw_Data!J1121)</f>
        <v/>
      </c>
      <c r="K1121" s="4">
        <f>Raw_Data!K1121</f>
        <v/>
      </c>
      <c r="L1121" s="4">
        <f>IF(TRIM(Raw_Data!L1121)="","No Coupon",TRIM(Raw_Data!L1121))</f>
        <v/>
      </c>
      <c r="M1121" s="4">
        <f>PROPER(TRIM(Raw_Data!M1121))</f>
        <v/>
      </c>
      <c r="N1121" s="6">
        <f>ROUND(Raw_Data!N1121,2)</f>
        <v/>
      </c>
      <c r="O1121" s="7">
        <f>IF(COUNTIF($A$2:$A$1201,A1121)&gt;1,"DUPLICATE","Unique")</f>
        <v/>
      </c>
      <c r="P1121" s="7">
        <f>IF(COUNTIF($J$2:$J$1201,J1121)&gt;1,"DUPLICATE","Unique")</f>
        <v/>
      </c>
      <c r="Q1121" s="4">
        <f>IF(TRIM(Raw_Data!L1121)="","Yes","No")</f>
        <v/>
      </c>
      <c r="R1121" s="4">
        <f>IF(ISNUMBER(B1121),"Valid","INVALID")</f>
        <v/>
      </c>
    </row>
    <row r="1122">
      <c r="A1122" s="4">
        <f>TRIM(Raw_Data!A1122)</f>
        <v/>
      </c>
      <c r="B1122" s="5">
        <f>Raw_Data!B1122</f>
        <v/>
      </c>
      <c r="C1122" s="4">
        <f>TRIM(Raw_Data!C1122)</f>
        <v/>
      </c>
      <c r="D1122" s="4">
        <f>PROPER(TRIM(Raw_Data!D1122))</f>
        <v/>
      </c>
      <c r="E1122" s="4">
        <f>Raw_Data!E1122</f>
        <v/>
      </c>
      <c r="F1122" s="6">
        <f>ROUND(Raw_Data!F1122,2)</f>
        <v/>
      </c>
      <c r="G1122" s="4">
        <f>PROPER(TRIM(Raw_Data!G1122))</f>
        <v/>
      </c>
      <c r="H1122" s="4">
        <f>PROPER(TRIM(Raw_Data!H1122))</f>
        <v/>
      </c>
      <c r="I1122" s="4">
        <f>PROPER(TRIM(Raw_Data!I1122))</f>
        <v/>
      </c>
      <c r="J1122" s="4">
        <f>TRIM(Raw_Data!J1122)</f>
        <v/>
      </c>
      <c r="K1122" s="4">
        <f>Raw_Data!K1122</f>
        <v/>
      </c>
      <c r="L1122" s="4">
        <f>IF(TRIM(Raw_Data!L1122)="","No Coupon",TRIM(Raw_Data!L1122))</f>
        <v/>
      </c>
      <c r="M1122" s="4">
        <f>PROPER(TRIM(Raw_Data!M1122))</f>
        <v/>
      </c>
      <c r="N1122" s="6">
        <f>ROUND(Raw_Data!N1122,2)</f>
        <v/>
      </c>
      <c r="O1122" s="7">
        <f>IF(COUNTIF($A$2:$A$1201,A1122)&gt;1,"DUPLICATE","Unique")</f>
        <v/>
      </c>
      <c r="P1122" s="7">
        <f>IF(COUNTIF($J$2:$J$1201,J1122)&gt;1,"DUPLICATE","Unique")</f>
        <v/>
      </c>
      <c r="Q1122" s="4">
        <f>IF(TRIM(Raw_Data!L1122)="","Yes","No")</f>
        <v/>
      </c>
      <c r="R1122" s="4">
        <f>IF(ISNUMBER(B1122),"Valid","INVALID")</f>
        <v/>
      </c>
    </row>
    <row r="1123">
      <c r="A1123" s="4">
        <f>TRIM(Raw_Data!A1123)</f>
        <v/>
      </c>
      <c r="B1123" s="5">
        <f>Raw_Data!B1123</f>
        <v/>
      </c>
      <c r="C1123" s="4">
        <f>TRIM(Raw_Data!C1123)</f>
        <v/>
      </c>
      <c r="D1123" s="4">
        <f>PROPER(TRIM(Raw_Data!D1123))</f>
        <v/>
      </c>
      <c r="E1123" s="4">
        <f>Raw_Data!E1123</f>
        <v/>
      </c>
      <c r="F1123" s="6">
        <f>ROUND(Raw_Data!F1123,2)</f>
        <v/>
      </c>
      <c r="G1123" s="4">
        <f>PROPER(TRIM(Raw_Data!G1123))</f>
        <v/>
      </c>
      <c r="H1123" s="4">
        <f>PROPER(TRIM(Raw_Data!H1123))</f>
        <v/>
      </c>
      <c r="I1123" s="4">
        <f>PROPER(TRIM(Raw_Data!I1123))</f>
        <v/>
      </c>
      <c r="J1123" s="4">
        <f>TRIM(Raw_Data!J1123)</f>
        <v/>
      </c>
      <c r="K1123" s="4">
        <f>Raw_Data!K1123</f>
        <v/>
      </c>
      <c r="L1123" s="4">
        <f>IF(TRIM(Raw_Data!L1123)="","No Coupon",TRIM(Raw_Data!L1123))</f>
        <v/>
      </c>
      <c r="M1123" s="4">
        <f>PROPER(TRIM(Raw_Data!M1123))</f>
        <v/>
      </c>
      <c r="N1123" s="6">
        <f>ROUND(Raw_Data!N1123,2)</f>
        <v/>
      </c>
      <c r="O1123" s="7">
        <f>IF(COUNTIF($A$2:$A$1201,A1123)&gt;1,"DUPLICATE","Unique")</f>
        <v/>
      </c>
      <c r="P1123" s="7">
        <f>IF(COUNTIF($J$2:$J$1201,J1123)&gt;1,"DUPLICATE","Unique")</f>
        <v/>
      </c>
      <c r="Q1123" s="4">
        <f>IF(TRIM(Raw_Data!L1123)="","Yes","No")</f>
        <v/>
      </c>
      <c r="R1123" s="4">
        <f>IF(ISNUMBER(B1123),"Valid","INVALID")</f>
        <v/>
      </c>
    </row>
    <row r="1124">
      <c r="A1124" s="4">
        <f>TRIM(Raw_Data!A1124)</f>
        <v/>
      </c>
      <c r="B1124" s="5">
        <f>Raw_Data!B1124</f>
        <v/>
      </c>
      <c r="C1124" s="4">
        <f>TRIM(Raw_Data!C1124)</f>
        <v/>
      </c>
      <c r="D1124" s="4">
        <f>PROPER(TRIM(Raw_Data!D1124))</f>
        <v/>
      </c>
      <c r="E1124" s="4">
        <f>Raw_Data!E1124</f>
        <v/>
      </c>
      <c r="F1124" s="6">
        <f>ROUND(Raw_Data!F1124,2)</f>
        <v/>
      </c>
      <c r="G1124" s="4">
        <f>PROPER(TRIM(Raw_Data!G1124))</f>
        <v/>
      </c>
      <c r="H1124" s="4">
        <f>PROPER(TRIM(Raw_Data!H1124))</f>
        <v/>
      </c>
      <c r="I1124" s="4">
        <f>PROPER(TRIM(Raw_Data!I1124))</f>
        <v/>
      </c>
      <c r="J1124" s="4">
        <f>TRIM(Raw_Data!J1124)</f>
        <v/>
      </c>
      <c r="K1124" s="4">
        <f>Raw_Data!K1124</f>
        <v/>
      </c>
      <c r="L1124" s="4">
        <f>IF(TRIM(Raw_Data!L1124)="","No Coupon",TRIM(Raw_Data!L1124))</f>
        <v/>
      </c>
      <c r="M1124" s="4">
        <f>PROPER(TRIM(Raw_Data!M1124))</f>
        <v/>
      </c>
      <c r="N1124" s="6">
        <f>ROUND(Raw_Data!N1124,2)</f>
        <v/>
      </c>
      <c r="O1124" s="7">
        <f>IF(COUNTIF($A$2:$A$1201,A1124)&gt;1,"DUPLICATE","Unique")</f>
        <v/>
      </c>
      <c r="P1124" s="7">
        <f>IF(COUNTIF($J$2:$J$1201,J1124)&gt;1,"DUPLICATE","Unique")</f>
        <v/>
      </c>
      <c r="Q1124" s="4">
        <f>IF(TRIM(Raw_Data!L1124)="","Yes","No")</f>
        <v/>
      </c>
      <c r="R1124" s="4">
        <f>IF(ISNUMBER(B1124),"Valid","INVALID")</f>
        <v/>
      </c>
    </row>
    <row r="1125">
      <c r="A1125" s="4">
        <f>TRIM(Raw_Data!A1125)</f>
        <v/>
      </c>
      <c r="B1125" s="5">
        <f>Raw_Data!B1125</f>
        <v/>
      </c>
      <c r="C1125" s="4">
        <f>TRIM(Raw_Data!C1125)</f>
        <v/>
      </c>
      <c r="D1125" s="4">
        <f>PROPER(TRIM(Raw_Data!D1125))</f>
        <v/>
      </c>
      <c r="E1125" s="4">
        <f>Raw_Data!E1125</f>
        <v/>
      </c>
      <c r="F1125" s="6">
        <f>ROUND(Raw_Data!F1125,2)</f>
        <v/>
      </c>
      <c r="G1125" s="4">
        <f>PROPER(TRIM(Raw_Data!G1125))</f>
        <v/>
      </c>
      <c r="H1125" s="4">
        <f>PROPER(TRIM(Raw_Data!H1125))</f>
        <v/>
      </c>
      <c r="I1125" s="4">
        <f>PROPER(TRIM(Raw_Data!I1125))</f>
        <v/>
      </c>
      <c r="J1125" s="4">
        <f>TRIM(Raw_Data!J1125)</f>
        <v/>
      </c>
      <c r="K1125" s="4">
        <f>Raw_Data!K1125</f>
        <v/>
      </c>
      <c r="L1125" s="4">
        <f>IF(TRIM(Raw_Data!L1125)="","No Coupon",TRIM(Raw_Data!L1125))</f>
        <v/>
      </c>
      <c r="M1125" s="4">
        <f>PROPER(TRIM(Raw_Data!M1125))</f>
        <v/>
      </c>
      <c r="N1125" s="6">
        <f>ROUND(Raw_Data!N1125,2)</f>
        <v/>
      </c>
      <c r="O1125" s="7">
        <f>IF(COUNTIF($A$2:$A$1201,A1125)&gt;1,"DUPLICATE","Unique")</f>
        <v/>
      </c>
      <c r="P1125" s="7">
        <f>IF(COUNTIF($J$2:$J$1201,J1125)&gt;1,"DUPLICATE","Unique")</f>
        <v/>
      </c>
      <c r="Q1125" s="4">
        <f>IF(TRIM(Raw_Data!L1125)="","Yes","No")</f>
        <v/>
      </c>
      <c r="R1125" s="4">
        <f>IF(ISNUMBER(B1125),"Valid","INVALID")</f>
        <v/>
      </c>
    </row>
    <row r="1126">
      <c r="A1126" s="4">
        <f>TRIM(Raw_Data!A1126)</f>
        <v/>
      </c>
      <c r="B1126" s="5">
        <f>Raw_Data!B1126</f>
        <v/>
      </c>
      <c r="C1126" s="4">
        <f>TRIM(Raw_Data!C1126)</f>
        <v/>
      </c>
      <c r="D1126" s="4">
        <f>PROPER(TRIM(Raw_Data!D1126))</f>
        <v/>
      </c>
      <c r="E1126" s="4">
        <f>Raw_Data!E1126</f>
        <v/>
      </c>
      <c r="F1126" s="6">
        <f>ROUND(Raw_Data!F1126,2)</f>
        <v/>
      </c>
      <c r="G1126" s="4">
        <f>PROPER(TRIM(Raw_Data!G1126))</f>
        <v/>
      </c>
      <c r="H1126" s="4">
        <f>PROPER(TRIM(Raw_Data!H1126))</f>
        <v/>
      </c>
      <c r="I1126" s="4">
        <f>PROPER(TRIM(Raw_Data!I1126))</f>
        <v/>
      </c>
      <c r="J1126" s="4">
        <f>TRIM(Raw_Data!J1126)</f>
        <v/>
      </c>
      <c r="K1126" s="4">
        <f>Raw_Data!K1126</f>
        <v/>
      </c>
      <c r="L1126" s="4">
        <f>IF(TRIM(Raw_Data!L1126)="","No Coupon",TRIM(Raw_Data!L1126))</f>
        <v/>
      </c>
      <c r="M1126" s="4">
        <f>PROPER(TRIM(Raw_Data!M1126))</f>
        <v/>
      </c>
      <c r="N1126" s="6">
        <f>ROUND(Raw_Data!N1126,2)</f>
        <v/>
      </c>
      <c r="O1126" s="7">
        <f>IF(COUNTIF($A$2:$A$1201,A1126)&gt;1,"DUPLICATE","Unique")</f>
        <v/>
      </c>
      <c r="P1126" s="7">
        <f>IF(COUNTIF($J$2:$J$1201,J1126)&gt;1,"DUPLICATE","Unique")</f>
        <v/>
      </c>
      <c r="Q1126" s="4">
        <f>IF(TRIM(Raw_Data!L1126)="","Yes","No")</f>
        <v/>
      </c>
      <c r="R1126" s="4">
        <f>IF(ISNUMBER(B1126),"Valid","INVALID")</f>
        <v/>
      </c>
    </row>
    <row r="1127">
      <c r="A1127" s="4">
        <f>TRIM(Raw_Data!A1127)</f>
        <v/>
      </c>
      <c r="B1127" s="5">
        <f>Raw_Data!B1127</f>
        <v/>
      </c>
      <c r="C1127" s="4">
        <f>TRIM(Raw_Data!C1127)</f>
        <v/>
      </c>
      <c r="D1127" s="4">
        <f>PROPER(TRIM(Raw_Data!D1127))</f>
        <v/>
      </c>
      <c r="E1127" s="4">
        <f>Raw_Data!E1127</f>
        <v/>
      </c>
      <c r="F1127" s="6">
        <f>ROUND(Raw_Data!F1127,2)</f>
        <v/>
      </c>
      <c r="G1127" s="4">
        <f>PROPER(TRIM(Raw_Data!G1127))</f>
        <v/>
      </c>
      <c r="H1127" s="4">
        <f>PROPER(TRIM(Raw_Data!H1127))</f>
        <v/>
      </c>
      <c r="I1127" s="4">
        <f>PROPER(TRIM(Raw_Data!I1127))</f>
        <v/>
      </c>
      <c r="J1127" s="4">
        <f>TRIM(Raw_Data!J1127)</f>
        <v/>
      </c>
      <c r="K1127" s="4">
        <f>Raw_Data!K1127</f>
        <v/>
      </c>
      <c r="L1127" s="4">
        <f>IF(TRIM(Raw_Data!L1127)="","No Coupon",TRIM(Raw_Data!L1127))</f>
        <v/>
      </c>
      <c r="M1127" s="4">
        <f>PROPER(TRIM(Raw_Data!M1127))</f>
        <v/>
      </c>
      <c r="N1127" s="6">
        <f>ROUND(Raw_Data!N1127,2)</f>
        <v/>
      </c>
      <c r="O1127" s="7">
        <f>IF(COUNTIF($A$2:$A$1201,A1127)&gt;1,"DUPLICATE","Unique")</f>
        <v/>
      </c>
      <c r="P1127" s="7">
        <f>IF(COUNTIF($J$2:$J$1201,J1127)&gt;1,"DUPLICATE","Unique")</f>
        <v/>
      </c>
      <c r="Q1127" s="4">
        <f>IF(TRIM(Raw_Data!L1127)="","Yes","No")</f>
        <v/>
      </c>
      <c r="R1127" s="4">
        <f>IF(ISNUMBER(B1127),"Valid","INVALID")</f>
        <v/>
      </c>
    </row>
    <row r="1128">
      <c r="A1128" s="4">
        <f>TRIM(Raw_Data!A1128)</f>
        <v/>
      </c>
      <c r="B1128" s="5">
        <f>Raw_Data!B1128</f>
        <v/>
      </c>
      <c r="C1128" s="4">
        <f>TRIM(Raw_Data!C1128)</f>
        <v/>
      </c>
      <c r="D1128" s="4">
        <f>PROPER(TRIM(Raw_Data!D1128))</f>
        <v/>
      </c>
      <c r="E1128" s="4">
        <f>Raw_Data!E1128</f>
        <v/>
      </c>
      <c r="F1128" s="6">
        <f>ROUND(Raw_Data!F1128,2)</f>
        <v/>
      </c>
      <c r="G1128" s="4">
        <f>PROPER(TRIM(Raw_Data!G1128))</f>
        <v/>
      </c>
      <c r="H1128" s="4">
        <f>PROPER(TRIM(Raw_Data!H1128))</f>
        <v/>
      </c>
      <c r="I1128" s="4">
        <f>PROPER(TRIM(Raw_Data!I1128))</f>
        <v/>
      </c>
      <c r="J1128" s="4">
        <f>TRIM(Raw_Data!J1128)</f>
        <v/>
      </c>
      <c r="K1128" s="4">
        <f>Raw_Data!K1128</f>
        <v/>
      </c>
      <c r="L1128" s="4">
        <f>IF(TRIM(Raw_Data!L1128)="","No Coupon",TRIM(Raw_Data!L1128))</f>
        <v/>
      </c>
      <c r="M1128" s="4">
        <f>PROPER(TRIM(Raw_Data!M1128))</f>
        <v/>
      </c>
      <c r="N1128" s="6">
        <f>ROUND(Raw_Data!N1128,2)</f>
        <v/>
      </c>
      <c r="O1128" s="7">
        <f>IF(COUNTIF($A$2:$A$1201,A1128)&gt;1,"DUPLICATE","Unique")</f>
        <v/>
      </c>
      <c r="P1128" s="7">
        <f>IF(COUNTIF($J$2:$J$1201,J1128)&gt;1,"DUPLICATE","Unique")</f>
        <v/>
      </c>
      <c r="Q1128" s="4">
        <f>IF(TRIM(Raw_Data!L1128)="","Yes","No")</f>
        <v/>
      </c>
      <c r="R1128" s="4">
        <f>IF(ISNUMBER(B1128),"Valid","INVALID")</f>
        <v/>
      </c>
    </row>
    <row r="1129">
      <c r="A1129" s="4">
        <f>TRIM(Raw_Data!A1129)</f>
        <v/>
      </c>
      <c r="B1129" s="5">
        <f>Raw_Data!B1129</f>
        <v/>
      </c>
      <c r="C1129" s="4">
        <f>TRIM(Raw_Data!C1129)</f>
        <v/>
      </c>
      <c r="D1129" s="4">
        <f>PROPER(TRIM(Raw_Data!D1129))</f>
        <v/>
      </c>
      <c r="E1129" s="4">
        <f>Raw_Data!E1129</f>
        <v/>
      </c>
      <c r="F1129" s="6">
        <f>ROUND(Raw_Data!F1129,2)</f>
        <v/>
      </c>
      <c r="G1129" s="4">
        <f>PROPER(TRIM(Raw_Data!G1129))</f>
        <v/>
      </c>
      <c r="H1129" s="4">
        <f>PROPER(TRIM(Raw_Data!H1129))</f>
        <v/>
      </c>
      <c r="I1129" s="4">
        <f>PROPER(TRIM(Raw_Data!I1129))</f>
        <v/>
      </c>
      <c r="J1129" s="4">
        <f>TRIM(Raw_Data!J1129)</f>
        <v/>
      </c>
      <c r="K1129" s="4">
        <f>Raw_Data!K1129</f>
        <v/>
      </c>
      <c r="L1129" s="4">
        <f>IF(TRIM(Raw_Data!L1129)="","No Coupon",TRIM(Raw_Data!L1129))</f>
        <v/>
      </c>
      <c r="M1129" s="4">
        <f>PROPER(TRIM(Raw_Data!M1129))</f>
        <v/>
      </c>
      <c r="N1129" s="6">
        <f>ROUND(Raw_Data!N1129,2)</f>
        <v/>
      </c>
      <c r="O1129" s="7">
        <f>IF(COUNTIF($A$2:$A$1201,A1129)&gt;1,"DUPLICATE","Unique")</f>
        <v/>
      </c>
      <c r="P1129" s="7">
        <f>IF(COUNTIF($J$2:$J$1201,J1129)&gt;1,"DUPLICATE","Unique")</f>
        <v/>
      </c>
      <c r="Q1129" s="4">
        <f>IF(TRIM(Raw_Data!L1129)="","Yes","No")</f>
        <v/>
      </c>
      <c r="R1129" s="4">
        <f>IF(ISNUMBER(B1129),"Valid","INVALID")</f>
        <v/>
      </c>
    </row>
    <row r="1130">
      <c r="A1130" s="4">
        <f>TRIM(Raw_Data!A1130)</f>
        <v/>
      </c>
      <c r="B1130" s="5">
        <f>Raw_Data!B1130</f>
        <v/>
      </c>
      <c r="C1130" s="4">
        <f>TRIM(Raw_Data!C1130)</f>
        <v/>
      </c>
      <c r="D1130" s="4">
        <f>PROPER(TRIM(Raw_Data!D1130))</f>
        <v/>
      </c>
      <c r="E1130" s="4">
        <f>Raw_Data!E1130</f>
        <v/>
      </c>
      <c r="F1130" s="6">
        <f>ROUND(Raw_Data!F1130,2)</f>
        <v/>
      </c>
      <c r="G1130" s="4">
        <f>PROPER(TRIM(Raw_Data!G1130))</f>
        <v/>
      </c>
      <c r="H1130" s="4">
        <f>PROPER(TRIM(Raw_Data!H1130))</f>
        <v/>
      </c>
      <c r="I1130" s="4">
        <f>PROPER(TRIM(Raw_Data!I1130))</f>
        <v/>
      </c>
      <c r="J1130" s="4">
        <f>TRIM(Raw_Data!J1130)</f>
        <v/>
      </c>
      <c r="K1130" s="4">
        <f>Raw_Data!K1130</f>
        <v/>
      </c>
      <c r="L1130" s="4">
        <f>IF(TRIM(Raw_Data!L1130)="","No Coupon",TRIM(Raw_Data!L1130))</f>
        <v/>
      </c>
      <c r="M1130" s="4">
        <f>PROPER(TRIM(Raw_Data!M1130))</f>
        <v/>
      </c>
      <c r="N1130" s="6">
        <f>ROUND(Raw_Data!N1130,2)</f>
        <v/>
      </c>
      <c r="O1130" s="7">
        <f>IF(COUNTIF($A$2:$A$1201,A1130)&gt;1,"DUPLICATE","Unique")</f>
        <v/>
      </c>
      <c r="P1130" s="7">
        <f>IF(COUNTIF($J$2:$J$1201,J1130)&gt;1,"DUPLICATE","Unique")</f>
        <v/>
      </c>
      <c r="Q1130" s="4">
        <f>IF(TRIM(Raw_Data!L1130)="","Yes","No")</f>
        <v/>
      </c>
      <c r="R1130" s="4">
        <f>IF(ISNUMBER(B1130),"Valid","INVALID")</f>
        <v/>
      </c>
    </row>
    <row r="1131">
      <c r="A1131" s="4">
        <f>TRIM(Raw_Data!A1131)</f>
        <v/>
      </c>
      <c r="B1131" s="5">
        <f>Raw_Data!B1131</f>
        <v/>
      </c>
      <c r="C1131" s="4">
        <f>TRIM(Raw_Data!C1131)</f>
        <v/>
      </c>
      <c r="D1131" s="4">
        <f>PROPER(TRIM(Raw_Data!D1131))</f>
        <v/>
      </c>
      <c r="E1131" s="4">
        <f>Raw_Data!E1131</f>
        <v/>
      </c>
      <c r="F1131" s="6">
        <f>ROUND(Raw_Data!F1131,2)</f>
        <v/>
      </c>
      <c r="G1131" s="4">
        <f>PROPER(TRIM(Raw_Data!G1131))</f>
        <v/>
      </c>
      <c r="H1131" s="4">
        <f>PROPER(TRIM(Raw_Data!H1131))</f>
        <v/>
      </c>
      <c r="I1131" s="4">
        <f>PROPER(TRIM(Raw_Data!I1131))</f>
        <v/>
      </c>
      <c r="J1131" s="4">
        <f>TRIM(Raw_Data!J1131)</f>
        <v/>
      </c>
      <c r="K1131" s="4">
        <f>Raw_Data!K1131</f>
        <v/>
      </c>
      <c r="L1131" s="4">
        <f>IF(TRIM(Raw_Data!L1131)="","No Coupon",TRIM(Raw_Data!L1131))</f>
        <v/>
      </c>
      <c r="M1131" s="4">
        <f>PROPER(TRIM(Raw_Data!M1131))</f>
        <v/>
      </c>
      <c r="N1131" s="6">
        <f>ROUND(Raw_Data!N1131,2)</f>
        <v/>
      </c>
      <c r="O1131" s="7">
        <f>IF(COUNTIF($A$2:$A$1201,A1131)&gt;1,"DUPLICATE","Unique")</f>
        <v/>
      </c>
      <c r="P1131" s="7">
        <f>IF(COUNTIF($J$2:$J$1201,J1131)&gt;1,"DUPLICATE","Unique")</f>
        <v/>
      </c>
      <c r="Q1131" s="4">
        <f>IF(TRIM(Raw_Data!L1131)="","Yes","No")</f>
        <v/>
      </c>
      <c r="R1131" s="4">
        <f>IF(ISNUMBER(B1131),"Valid","INVALID")</f>
        <v/>
      </c>
    </row>
    <row r="1132">
      <c r="A1132" s="4">
        <f>TRIM(Raw_Data!A1132)</f>
        <v/>
      </c>
      <c r="B1132" s="5">
        <f>Raw_Data!B1132</f>
        <v/>
      </c>
      <c r="C1132" s="4">
        <f>TRIM(Raw_Data!C1132)</f>
        <v/>
      </c>
      <c r="D1132" s="4">
        <f>PROPER(TRIM(Raw_Data!D1132))</f>
        <v/>
      </c>
      <c r="E1132" s="4">
        <f>Raw_Data!E1132</f>
        <v/>
      </c>
      <c r="F1132" s="6">
        <f>ROUND(Raw_Data!F1132,2)</f>
        <v/>
      </c>
      <c r="G1132" s="4">
        <f>PROPER(TRIM(Raw_Data!G1132))</f>
        <v/>
      </c>
      <c r="H1132" s="4">
        <f>PROPER(TRIM(Raw_Data!H1132))</f>
        <v/>
      </c>
      <c r="I1132" s="4">
        <f>PROPER(TRIM(Raw_Data!I1132))</f>
        <v/>
      </c>
      <c r="J1132" s="4">
        <f>TRIM(Raw_Data!J1132)</f>
        <v/>
      </c>
      <c r="K1132" s="4">
        <f>Raw_Data!K1132</f>
        <v/>
      </c>
      <c r="L1132" s="4">
        <f>IF(TRIM(Raw_Data!L1132)="","No Coupon",TRIM(Raw_Data!L1132))</f>
        <v/>
      </c>
      <c r="M1132" s="4">
        <f>PROPER(TRIM(Raw_Data!M1132))</f>
        <v/>
      </c>
      <c r="N1132" s="6">
        <f>ROUND(Raw_Data!N1132,2)</f>
        <v/>
      </c>
      <c r="O1132" s="7">
        <f>IF(COUNTIF($A$2:$A$1201,A1132)&gt;1,"DUPLICATE","Unique")</f>
        <v/>
      </c>
      <c r="P1132" s="7">
        <f>IF(COUNTIF($J$2:$J$1201,J1132)&gt;1,"DUPLICATE","Unique")</f>
        <v/>
      </c>
      <c r="Q1132" s="4">
        <f>IF(TRIM(Raw_Data!L1132)="","Yes","No")</f>
        <v/>
      </c>
      <c r="R1132" s="4">
        <f>IF(ISNUMBER(B1132),"Valid","INVALID")</f>
        <v/>
      </c>
    </row>
    <row r="1133">
      <c r="A1133" s="4">
        <f>TRIM(Raw_Data!A1133)</f>
        <v/>
      </c>
      <c r="B1133" s="5">
        <f>Raw_Data!B1133</f>
        <v/>
      </c>
      <c r="C1133" s="4">
        <f>TRIM(Raw_Data!C1133)</f>
        <v/>
      </c>
      <c r="D1133" s="4">
        <f>PROPER(TRIM(Raw_Data!D1133))</f>
        <v/>
      </c>
      <c r="E1133" s="4">
        <f>Raw_Data!E1133</f>
        <v/>
      </c>
      <c r="F1133" s="6">
        <f>ROUND(Raw_Data!F1133,2)</f>
        <v/>
      </c>
      <c r="G1133" s="4">
        <f>PROPER(TRIM(Raw_Data!G1133))</f>
        <v/>
      </c>
      <c r="H1133" s="4">
        <f>PROPER(TRIM(Raw_Data!H1133))</f>
        <v/>
      </c>
      <c r="I1133" s="4">
        <f>PROPER(TRIM(Raw_Data!I1133))</f>
        <v/>
      </c>
      <c r="J1133" s="4">
        <f>TRIM(Raw_Data!J1133)</f>
        <v/>
      </c>
      <c r="K1133" s="4">
        <f>Raw_Data!K1133</f>
        <v/>
      </c>
      <c r="L1133" s="4">
        <f>IF(TRIM(Raw_Data!L1133)="","No Coupon",TRIM(Raw_Data!L1133))</f>
        <v/>
      </c>
      <c r="M1133" s="4">
        <f>PROPER(TRIM(Raw_Data!M1133))</f>
        <v/>
      </c>
      <c r="N1133" s="6">
        <f>ROUND(Raw_Data!N1133,2)</f>
        <v/>
      </c>
      <c r="O1133" s="7">
        <f>IF(COUNTIF($A$2:$A$1201,A1133)&gt;1,"DUPLICATE","Unique")</f>
        <v/>
      </c>
      <c r="P1133" s="7">
        <f>IF(COUNTIF($J$2:$J$1201,J1133)&gt;1,"DUPLICATE","Unique")</f>
        <v/>
      </c>
      <c r="Q1133" s="4">
        <f>IF(TRIM(Raw_Data!L1133)="","Yes","No")</f>
        <v/>
      </c>
      <c r="R1133" s="4">
        <f>IF(ISNUMBER(B1133),"Valid","INVALID")</f>
        <v/>
      </c>
    </row>
    <row r="1134">
      <c r="A1134" s="4">
        <f>TRIM(Raw_Data!A1134)</f>
        <v/>
      </c>
      <c r="B1134" s="5">
        <f>Raw_Data!B1134</f>
        <v/>
      </c>
      <c r="C1134" s="4">
        <f>TRIM(Raw_Data!C1134)</f>
        <v/>
      </c>
      <c r="D1134" s="4">
        <f>PROPER(TRIM(Raw_Data!D1134))</f>
        <v/>
      </c>
      <c r="E1134" s="4">
        <f>Raw_Data!E1134</f>
        <v/>
      </c>
      <c r="F1134" s="6">
        <f>ROUND(Raw_Data!F1134,2)</f>
        <v/>
      </c>
      <c r="G1134" s="4">
        <f>PROPER(TRIM(Raw_Data!G1134))</f>
        <v/>
      </c>
      <c r="H1134" s="4">
        <f>PROPER(TRIM(Raw_Data!H1134))</f>
        <v/>
      </c>
      <c r="I1134" s="4">
        <f>PROPER(TRIM(Raw_Data!I1134))</f>
        <v/>
      </c>
      <c r="J1134" s="4">
        <f>TRIM(Raw_Data!J1134)</f>
        <v/>
      </c>
      <c r="K1134" s="4">
        <f>Raw_Data!K1134</f>
        <v/>
      </c>
      <c r="L1134" s="4">
        <f>IF(TRIM(Raw_Data!L1134)="","No Coupon",TRIM(Raw_Data!L1134))</f>
        <v/>
      </c>
      <c r="M1134" s="4">
        <f>PROPER(TRIM(Raw_Data!M1134))</f>
        <v/>
      </c>
      <c r="N1134" s="6">
        <f>ROUND(Raw_Data!N1134,2)</f>
        <v/>
      </c>
      <c r="O1134" s="7">
        <f>IF(COUNTIF($A$2:$A$1201,A1134)&gt;1,"DUPLICATE","Unique")</f>
        <v/>
      </c>
      <c r="P1134" s="7">
        <f>IF(COUNTIF($J$2:$J$1201,J1134)&gt;1,"DUPLICATE","Unique")</f>
        <v/>
      </c>
      <c r="Q1134" s="4">
        <f>IF(TRIM(Raw_Data!L1134)="","Yes","No")</f>
        <v/>
      </c>
      <c r="R1134" s="4">
        <f>IF(ISNUMBER(B1134),"Valid","INVALID")</f>
        <v/>
      </c>
    </row>
    <row r="1135">
      <c r="A1135" s="4">
        <f>TRIM(Raw_Data!A1135)</f>
        <v/>
      </c>
      <c r="B1135" s="5">
        <f>Raw_Data!B1135</f>
        <v/>
      </c>
      <c r="C1135" s="4">
        <f>TRIM(Raw_Data!C1135)</f>
        <v/>
      </c>
      <c r="D1135" s="4">
        <f>PROPER(TRIM(Raw_Data!D1135))</f>
        <v/>
      </c>
      <c r="E1135" s="4">
        <f>Raw_Data!E1135</f>
        <v/>
      </c>
      <c r="F1135" s="6">
        <f>ROUND(Raw_Data!F1135,2)</f>
        <v/>
      </c>
      <c r="G1135" s="4">
        <f>PROPER(TRIM(Raw_Data!G1135))</f>
        <v/>
      </c>
      <c r="H1135" s="4">
        <f>PROPER(TRIM(Raw_Data!H1135))</f>
        <v/>
      </c>
      <c r="I1135" s="4">
        <f>PROPER(TRIM(Raw_Data!I1135))</f>
        <v/>
      </c>
      <c r="J1135" s="4">
        <f>TRIM(Raw_Data!J1135)</f>
        <v/>
      </c>
      <c r="K1135" s="4">
        <f>Raw_Data!K1135</f>
        <v/>
      </c>
      <c r="L1135" s="4">
        <f>IF(TRIM(Raw_Data!L1135)="","No Coupon",TRIM(Raw_Data!L1135))</f>
        <v/>
      </c>
      <c r="M1135" s="4">
        <f>PROPER(TRIM(Raw_Data!M1135))</f>
        <v/>
      </c>
      <c r="N1135" s="6">
        <f>ROUND(Raw_Data!N1135,2)</f>
        <v/>
      </c>
      <c r="O1135" s="7">
        <f>IF(COUNTIF($A$2:$A$1201,A1135)&gt;1,"DUPLICATE","Unique")</f>
        <v/>
      </c>
      <c r="P1135" s="7">
        <f>IF(COUNTIF($J$2:$J$1201,J1135)&gt;1,"DUPLICATE","Unique")</f>
        <v/>
      </c>
      <c r="Q1135" s="4">
        <f>IF(TRIM(Raw_Data!L1135)="","Yes","No")</f>
        <v/>
      </c>
      <c r="R1135" s="4">
        <f>IF(ISNUMBER(B1135),"Valid","INVALID")</f>
        <v/>
      </c>
    </row>
    <row r="1136">
      <c r="A1136" s="4">
        <f>TRIM(Raw_Data!A1136)</f>
        <v/>
      </c>
      <c r="B1136" s="5">
        <f>Raw_Data!B1136</f>
        <v/>
      </c>
      <c r="C1136" s="4">
        <f>TRIM(Raw_Data!C1136)</f>
        <v/>
      </c>
      <c r="D1136" s="4">
        <f>PROPER(TRIM(Raw_Data!D1136))</f>
        <v/>
      </c>
      <c r="E1136" s="4">
        <f>Raw_Data!E1136</f>
        <v/>
      </c>
      <c r="F1136" s="6">
        <f>ROUND(Raw_Data!F1136,2)</f>
        <v/>
      </c>
      <c r="G1136" s="4">
        <f>PROPER(TRIM(Raw_Data!G1136))</f>
        <v/>
      </c>
      <c r="H1136" s="4">
        <f>PROPER(TRIM(Raw_Data!H1136))</f>
        <v/>
      </c>
      <c r="I1136" s="4">
        <f>PROPER(TRIM(Raw_Data!I1136))</f>
        <v/>
      </c>
      <c r="J1136" s="4">
        <f>TRIM(Raw_Data!J1136)</f>
        <v/>
      </c>
      <c r="K1136" s="4">
        <f>Raw_Data!K1136</f>
        <v/>
      </c>
      <c r="L1136" s="4">
        <f>IF(TRIM(Raw_Data!L1136)="","No Coupon",TRIM(Raw_Data!L1136))</f>
        <v/>
      </c>
      <c r="M1136" s="4">
        <f>PROPER(TRIM(Raw_Data!M1136))</f>
        <v/>
      </c>
      <c r="N1136" s="6">
        <f>ROUND(Raw_Data!N1136,2)</f>
        <v/>
      </c>
      <c r="O1136" s="7">
        <f>IF(COUNTIF($A$2:$A$1201,A1136)&gt;1,"DUPLICATE","Unique")</f>
        <v/>
      </c>
      <c r="P1136" s="7">
        <f>IF(COUNTIF($J$2:$J$1201,J1136)&gt;1,"DUPLICATE","Unique")</f>
        <v/>
      </c>
      <c r="Q1136" s="4">
        <f>IF(TRIM(Raw_Data!L1136)="","Yes","No")</f>
        <v/>
      </c>
      <c r="R1136" s="4">
        <f>IF(ISNUMBER(B1136),"Valid","INVALID")</f>
        <v/>
      </c>
    </row>
    <row r="1137">
      <c r="A1137" s="4">
        <f>TRIM(Raw_Data!A1137)</f>
        <v/>
      </c>
      <c r="B1137" s="5">
        <f>Raw_Data!B1137</f>
        <v/>
      </c>
      <c r="C1137" s="4">
        <f>TRIM(Raw_Data!C1137)</f>
        <v/>
      </c>
      <c r="D1137" s="4">
        <f>PROPER(TRIM(Raw_Data!D1137))</f>
        <v/>
      </c>
      <c r="E1137" s="4">
        <f>Raw_Data!E1137</f>
        <v/>
      </c>
      <c r="F1137" s="6">
        <f>ROUND(Raw_Data!F1137,2)</f>
        <v/>
      </c>
      <c r="G1137" s="4">
        <f>PROPER(TRIM(Raw_Data!G1137))</f>
        <v/>
      </c>
      <c r="H1137" s="4">
        <f>PROPER(TRIM(Raw_Data!H1137))</f>
        <v/>
      </c>
      <c r="I1137" s="4">
        <f>PROPER(TRIM(Raw_Data!I1137))</f>
        <v/>
      </c>
      <c r="J1137" s="4">
        <f>TRIM(Raw_Data!J1137)</f>
        <v/>
      </c>
      <c r="K1137" s="4">
        <f>Raw_Data!K1137</f>
        <v/>
      </c>
      <c r="L1137" s="4">
        <f>IF(TRIM(Raw_Data!L1137)="","No Coupon",TRIM(Raw_Data!L1137))</f>
        <v/>
      </c>
      <c r="M1137" s="4">
        <f>PROPER(TRIM(Raw_Data!M1137))</f>
        <v/>
      </c>
      <c r="N1137" s="6">
        <f>ROUND(Raw_Data!N1137,2)</f>
        <v/>
      </c>
      <c r="O1137" s="7">
        <f>IF(COUNTIF($A$2:$A$1201,A1137)&gt;1,"DUPLICATE","Unique")</f>
        <v/>
      </c>
      <c r="P1137" s="7">
        <f>IF(COUNTIF($J$2:$J$1201,J1137)&gt;1,"DUPLICATE","Unique")</f>
        <v/>
      </c>
      <c r="Q1137" s="4">
        <f>IF(TRIM(Raw_Data!L1137)="","Yes","No")</f>
        <v/>
      </c>
      <c r="R1137" s="4">
        <f>IF(ISNUMBER(B1137),"Valid","INVALID")</f>
        <v/>
      </c>
    </row>
    <row r="1138">
      <c r="A1138" s="4">
        <f>TRIM(Raw_Data!A1138)</f>
        <v/>
      </c>
      <c r="B1138" s="5">
        <f>Raw_Data!B1138</f>
        <v/>
      </c>
      <c r="C1138" s="4">
        <f>TRIM(Raw_Data!C1138)</f>
        <v/>
      </c>
      <c r="D1138" s="4">
        <f>PROPER(TRIM(Raw_Data!D1138))</f>
        <v/>
      </c>
      <c r="E1138" s="4">
        <f>Raw_Data!E1138</f>
        <v/>
      </c>
      <c r="F1138" s="6">
        <f>ROUND(Raw_Data!F1138,2)</f>
        <v/>
      </c>
      <c r="G1138" s="4">
        <f>PROPER(TRIM(Raw_Data!G1138))</f>
        <v/>
      </c>
      <c r="H1138" s="4">
        <f>PROPER(TRIM(Raw_Data!H1138))</f>
        <v/>
      </c>
      <c r="I1138" s="4">
        <f>PROPER(TRIM(Raw_Data!I1138))</f>
        <v/>
      </c>
      <c r="J1138" s="4">
        <f>TRIM(Raw_Data!J1138)</f>
        <v/>
      </c>
      <c r="K1138" s="4">
        <f>Raw_Data!K1138</f>
        <v/>
      </c>
      <c r="L1138" s="4">
        <f>IF(TRIM(Raw_Data!L1138)="","No Coupon",TRIM(Raw_Data!L1138))</f>
        <v/>
      </c>
      <c r="M1138" s="4">
        <f>PROPER(TRIM(Raw_Data!M1138))</f>
        <v/>
      </c>
      <c r="N1138" s="6">
        <f>ROUND(Raw_Data!N1138,2)</f>
        <v/>
      </c>
      <c r="O1138" s="7">
        <f>IF(COUNTIF($A$2:$A$1201,A1138)&gt;1,"DUPLICATE","Unique")</f>
        <v/>
      </c>
      <c r="P1138" s="7">
        <f>IF(COUNTIF($J$2:$J$1201,J1138)&gt;1,"DUPLICATE","Unique")</f>
        <v/>
      </c>
      <c r="Q1138" s="4">
        <f>IF(TRIM(Raw_Data!L1138)="","Yes","No")</f>
        <v/>
      </c>
      <c r="R1138" s="4">
        <f>IF(ISNUMBER(B1138),"Valid","INVALID")</f>
        <v/>
      </c>
    </row>
    <row r="1139">
      <c r="A1139" s="4">
        <f>TRIM(Raw_Data!A1139)</f>
        <v/>
      </c>
      <c r="B1139" s="5">
        <f>Raw_Data!B1139</f>
        <v/>
      </c>
      <c r="C1139" s="4">
        <f>TRIM(Raw_Data!C1139)</f>
        <v/>
      </c>
      <c r="D1139" s="4">
        <f>PROPER(TRIM(Raw_Data!D1139))</f>
        <v/>
      </c>
      <c r="E1139" s="4">
        <f>Raw_Data!E1139</f>
        <v/>
      </c>
      <c r="F1139" s="6">
        <f>ROUND(Raw_Data!F1139,2)</f>
        <v/>
      </c>
      <c r="G1139" s="4">
        <f>PROPER(TRIM(Raw_Data!G1139))</f>
        <v/>
      </c>
      <c r="H1139" s="4">
        <f>PROPER(TRIM(Raw_Data!H1139))</f>
        <v/>
      </c>
      <c r="I1139" s="4">
        <f>PROPER(TRIM(Raw_Data!I1139))</f>
        <v/>
      </c>
      <c r="J1139" s="4">
        <f>TRIM(Raw_Data!J1139)</f>
        <v/>
      </c>
      <c r="K1139" s="4">
        <f>Raw_Data!K1139</f>
        <v/>
      </c>
      <c r="L1139" s="4">
        <f>IF(TRIM(Raw_Data!L1139)="","No Coupon",TRIM(Raw_Data!L1139))</f>
        <v/>
      </c>
      <c r="M1139" s="4">
        <f>PROPER(TRIM(Raw_Data!M1139))</f>
        <v/>
      </c>
      <c r="N1139" s="6">
        <f>ROUND(Raw_Data!N1139,2)</f>
        <v/>
      </c>
      <c r="O1139" s="7">
        <f>IF(COUNTIF($A$2:$A$1201,A1139)&gt;1,"DUPLICATE","Unique")</f>
        <v/>
      </c>
      <c r="P1139" s="7">
        <f>IF(COUNTIF($J$2:$J$1201,J1139)&gt;1,"DUPLICATE","Unique")</f>
        <v/>
      </c>
      <c r="Q1139" s="4">
        <f>IF(TRIM(Raw_Data!L1139)="","Yes","No")</f>
        <v/>
      </c>
      <c r="R1139" s="4">
        <f>IF(ISNUMBER(B1139),"Valid","INVALID")</f>
        <v/>
      </c>
    </row>
    <row r="1140">
      <c r="A1140" s="4">
        <f>TRIM(Raw_Data!A1140)</f>
        <v/>
      </c>
      <c r="B1140" s="5">
        <f>Raw_Data!B1140</f>
        <v/>
      </c>
      <c r="C1140" s="4">
        <f>TRIM(Raw_Data!C1140)</f>
        <v/>
      </c>
      <c r="D1140" s="4">
        <f>PROPER(TRIM(Raw_Data!D1140))</f>
        <v/>
      </c>
      <c r="E1140" s="4">
        <f>Raw_Data!E1140</f>
        <v/>
      </c>
      <c r="F1140" s="6">
        <f>ROUND(Raw_Data!F1140,2)</f>
        <v/>
      </c>
      <c r="G1140" s="4">
        <f>PROPER(TRIM(Raw_Data!G1140))</f>
        <v/>
      </c>
      <c r="H1140" s="4">
        <f>PROPER(TRIM(Raw_Data!H1140))</f>
        <v/>
      </c>
      <c r="I1140" s="4">
        <f>PROPER(TRIM(Raw_Data!I1140))</f>
        <v/>
      </c>
      <c r="J1140" s="4">
        <f>TRIM(Raw_Data!J1140)</f>
        <v/>
      </c>
      <c r="K1140" s="4">
        <f>Raw_Data!K1140</f>
        <v/>
      </c>
      <c r="L1140" s="4">
        <f>IF(TRIM(Raw_Data!L1140)="","No Coupon",TRIM(Raw_Data!L1140))</f>
        <v/>
      </c>
      <c r="M1140" s="4">
        <f>PROPER(TRIM(Raw_Data!M1140))</f>
        <v/>
      </c>
      <c r="N1140" s="6">
        <f>ROUND(Raw_Data!N1140,2)</f>
        <v/>
      </c>
      <c r="O1140" s="7">
        <f>IF(COUNTIF($A$2:$A$1201,A1140)&gt;1,"DUPLICATE","Unique")</f>
        <v/>
      </c>
      <c r="P1140" s="7">
        <f>IF(COUNTIF($J$2:$J$1201,J1140)&gt;1,"DUPLICATE","Unique")</f>
        <v/>
      </c>
      <c r="Q1140" s="4">
        <f>IF(TRIM(Raw_Data!L1140)="","Yes","No")</f>
        <v/>
      </c>
      <c r="R1140" s="4">
        <f>IF(ISNUMBER(B1140),"Valid","INVALID")</f>
        <v/>
      </c>
    </row>
    <row r="1141">
      <c r="A1141" s="4">
        <f>TRIM(Raw_Data!A1141)</f>
        <v/>
      </c>
      <c r="B1141" s="5">
        <f>Raw_Data!B1141</f>
        <v/>
      </c>
      <c r="C1141" s="4">
        <f>TRIM(Raw_Data!C1141)</f>
        <v/>
      </c>
      <c r="D1141" s="4">
        <f>PROPER(TRIM(Raw_Data!D1141))</f>
        <v/>
      </c>
      <c r="E1141" s="4">
        <f>Raw_Data!E1141</f>
        <v/>
      </c>
      <c r="F1141" s="6">
        <f>ROUND(Raw_Data!F1141,2)</f>
        <v/>
      </c>
      <c r="G1141" s="4">
        <f>PROPER(TRIM(Raw_Data!G1141))</f>
        <v/>
      </c>
      <c r="H1141" s="4">
        <f>PROPER(TRIM(Raw_Data!H1141))</f>
        <v/>
      </c>
      <c r="I1141" s="4">
        <f>PROPER(TRIM(Raw_Data!I1141))</f>
        <v/>
      </c>
      <c r="J1141" s="4">
        <f>TRIM(Raw_Data!J1141)</f>
        <v/>
      </c>
      <c r="K1141" s="4">
        <f>Raw_Data!K1141</f>
        <v/>
      </c>
      <c r="L1141" s="4">
        <f>IF(TRIM(Raw_Data!L1141)="","No Coupon",TRIM(Raw_Data!L1141))</f>
        <v/>
      </c>
      <c r="M1141" s="4">
        <f>PROPER(TRIM(Raw_Data!M1141))</f>
        <v/>
      </c>
      <c r="N1141" s="6">
        <f>ROUND(Raw_Data!N1141,2)</f>
        <v/>
      </c>
      <c r="O1141" s="7">
        <f>IF(COUNTIF($A$2:$A$1201,A1141)&gt;1,"DUPLICATE","Unique")</f>
        <v/>
      </c>
      <c r="P1141" s="7">
        <f>IF(COUNTIF($J$2:$J$1201,J1141)&gt;1,"DUPLICATE","Unique")</f>
        <v/>
      </c>
      <c r="Q1141" s="4">
        <f>IF(TRIM(Raw_Data!L1141)="","Yes","No")</f>
        <v/>
      </c>
      <c r="R1141" s="4">
        <f>IF(ISNUMBER(B1141),"Valid","INVALID")</f>
        <v/>
      </c>
    </row>
    <row r="1142">
      <c r="A1142" s="4">
        <f>TRIM(Raw_Data!A1142)</f>
        <v/>
      </c>
      <c r="B1142" s="5">
        <f>Raw_Data!B1142</f>
        <v/>
      </c>
      <c r="C1142" s="4">
        <f>TRIM(Raw_Data!C1142)</f>
        <v/>
      </c>
      <c r="D1142" s="4">
        <f>PROPER(TRIM(Raw_Data!D1142))</f>
        <v/>
      </c>
      <c r="E1142" s="4">
        <f>Raw_Data!E1142</f>
        <v/>
      </c>
      <c r="F1142" s="6">
        <f>ROUND(Raw_Data!F1142,2)</f>
        <v/>
      </c>
      <c r="G1142" s="4">
        <f>PROPER(TRIM(Raw_Data!G1142))</f>
        <v/>
      </c>
      <c r="H1142" s="4">
        <f>PROPER(TRIM(Raw_Data!H1142))</f>
        <v/>
      </c>
      <c r="I1142" s="4">
        <f>PROPER(TRIM(Raw_Data!I1142))</f>
        <v/>
      </c>
      <c r="J1142" s="4">
        <f>TRIM(Raw_Data!J1142)</f>
        <v/>
      </c>
      <c r="K1142" s="4">
        <f>Raw_Data!K1142</f>
        <v/>
      </c>
      <c r="L1142" s="4">
        <f>IF(TRIM(Raw_Data!L1142)="","No Coupon",TRIM(Raw_Data!L1142))</f>
        <v/>
      </c>
      <c r="M1142" s="4">
        <f>PROPER(TRIM(Raw_Data!M1142))</f>
        <v/>
      </c>
      <c r="N1142" s="6">
        <f>ROUND(Raw_Data!N1142,2)</f>
        <v/>
      </c>
      <c r="O1142" s="7">
        <f>IF(COUNTIF($A$2:$A$1201,A1142)&gt;1,"DUPLICATE","Unique")</f>
        <v/>
      </c>
      <c r="P1142" s="7">
        <f>IF(COUNTIF($J$2:$J$1201,J1142)&gt;1,"DUPLICATE","Unique")</f>
        <v/>
      </c>
      <c r="Q1142" s="4">
        <f>IF(TRIM(Raw_Data!L1142)="","Yes","No")</f>
        <v/>
      </c>
      <c r="R1142" s="4">
        <f>IF(ISNUMBER(B1142),"Valid","INVALID")</f>
        <v/>
      </c>
    </row>
    <row r="1143">
      <c r="A1143" s="4">
        <f>TRIM(Raw_Data!A1143)</f>
        <v/>
      </c>
      <c r="B1143" s="5">
        <f>Raw_Data!B1143</f>
        <v/>
      </c>
      <c r="C1143" s="4">
        <f>TRIM(Raw_Data!C1143)</f>
        <v/>
      </c>
      <c r="D1143" s="4">
        <f>PROPER(TRIM(Raw_Data!D1143))</f>
        <v/>
      </c>
      <c r="E1143" s="4">
        <f>Raw_Data!E1143</f>
        <v/>
      </c>
      <c r="F1143" s="6">
        <f>ROUND(Raw_Data!F1143,2)</f>
        <v/>
      </c>
      <c r="G1143" s="4">
        <f>PROPER(TRIM(Raw_Data!G1143))</f>
        <v/>
      </c>
      <c r="H1143" s="4">
        <f>PROPER(TRIM(Raw_Data!H1143))</f>
        <v/>
      </c>
      <c r="I1143" s="4">
        <f>PROPER(TRIM(Raw_Data!I1143))</f>
        <v/>
      </c>
      <c r="J1143" s="4">
        <f>TRIM(Raw_Data!J1143)</f>
        <v/>
      </c>
      <c r="K1143" s="4">
        <f>Raw_Data!K1143</f>
        <v/>
      </c>
      <c r="L1143" s="4">
        <f>IF(TRIM(Raw_Data!L1143)="","No Coupon",TRIM(Raw_Data!L1143))</f>
        <v/>
      </c>
      <c r="M1143" s="4">
        <f>PROPER(TRIM(Raw_Data!M1143))</f>
        <v/>
      </c>
      <c r="N1143" s="6">
        <f>ROUND(Raw_Data!N1143,2)</f>
        <v/>
      </c>
      <c r="O1143" s="7">
        <f>IF(COUNTIF($A$2:$A$1201,A1143)&gt;1,"DUPLICATE","Unique")</f>
        <v/>
      </c>
      <c r="P1143" s="7">
        <f>IF(COUNTIF($J$2:$J$1201,J1143)&gt;1,"DUPLICATE","Unique")</f>
        <v/>
      </c>
      <c r="Q1143" s="4">
        <f>IF(TRIM(Raw_Data!L1143)="","Yes","No")</f>
        <v/>
      </c>
      <c r="R1143" s="4">
        <f>IF(ISNUMBER(B1143),"Valid","INVALID")</f>
        <v/>
      </c>
    </row>
    <row r="1144">
      <c r="A1144" s="4">
        <f>TRIM(Raw_Data!A1144)</f>
        <v/>
      </c>
      <c r="B1144" s="5">
        <f>Raw_Data!B1144</f>
        <v/>
      </c>
      <c r="C1144" s="4">
        <f>TRIM(Raw_Data!C1144)</f>
        <v/>
      </c>
      <c r="D1144" s="4">
        <f>PROPER(TRIM(Raw_Data!D1144))</f>
        <v/>
      </c>
      <c r="E1144" s="4">
        <f>Raw_Data!E1144</f>
        <v/>
      </c>
      <c r="F1144" s="6">
        <f>ROUND(Raw_Data!F1144,2)</f>
        <v/>
      </c>
      <c r="G1144" s="4">
        <f>PROPER(TRIM(Raw_Data!G1144))</f>
        <v/>
      </c>
      <c r="H1144" s="4">
        <f>PROPER(TRIM(Raw_Data!H1144))</f>
        <v/>
      </c>
      <c r="I1144" s="4">
        <f>PROPER(TRIM(Raw_Data!I1144))</f>
        <v/>
      </c>
      <c r="J1144" s="4">
        <f>TRIM(Raw_Data!J1144)</f>
        <v/>
      </c>
      <c r="K1144" s="4">
        <f>Raw_Data!K1144</f>
        <v/>
      </c>
      <c r="L1144" s="4">
        <f>IF(TRIM(Raw_Data!L1144)="","No Coupon",TRIM(Raw_Data!L1144))</f>
        <v/>
      </c>
      <c r="M1144" s="4">
        <f>PROPER(TRIM(Raw_Data!M1144))</f>
        <v/>
      </c>
      <c r="N1144" s="6">
        <f>ROUND(Raw_Data!N1144,2)</f>
        <v/>
      </c>
      <c r="O1144" s="7">
        <f>IF(COUNTIF($A$2:$A$1201,A1144)&gt;1,"DUPLICATE","Unique")</f>
        <v/>
      </c>
      <c r="P1144" s="7">
        <f>IF(COUNTIF($J$2:$J$1201,J1144)&gt;1,"DUPLICATE","Unique")</f>
        <v/>
      </c>
      <c r="Q1144" s="4">
        <f>IF(TRIM(Raw_Data!L1144)="","Yes","No")</f>
        <v/>
      </c>
      <c r="R1144" s="4">
        <f>IF(ISNUMBER(B1144),"Valid","INVALID")</f>
        <v/>
      </c>
    </row>
    <row r="1145">
      <c r="A1145" s="4">
        <f>TRIM(Raw_Data!A1145)</f>
        <v/>
      </c>
      <c r="B1145" s="5">
        <f>Raw_Data!B1145</f>
        <v/>
      </c>
      <c r="C1145" s="4">
        <f>TRIM(Raw_Data!C1145)</f>
        <v/>
      </c>
      <c r="D1145" s="4">
        <f>PROPER(TRIM(Raw_Data!D1145))</f>
        <v/>
      </c>
      <c r="E1145" s="4">
        <f>Raw_Data!E1145</f>
        <v/>
      </c>
      <c r="F1145" s="6">
        <f>ROUND(Raw_Data!F1145,2)</f>
        <v/>
      </c>
      <c r="G1145" s="4">
        <f>PROPER(TRIM(Raw_Data!G1145))</f>
        <v/>
      </c>
      <c r="H1145" s="4">
        <f>PROPER(TRIM(Raw_Data!H1145))</f>
        <v/>
      </c>
      <c r="I1145" s="4">
        <f>PROPER(TRIM(Raw_Data!I1145))</f>
        <v/>
      </c>
      <c r="J1145" s="4">
        <f>TRIM(Raw_Data!J1145)</f>
        <v/>
      </c>
      <c r="K1145" s="4">
        <f>Raw_Data!K1145</f>
        <v/>
      </c>
      <c r="L1145" s="4">
        <f>IF(TRIM(Raw_Data!L1145)="","No Coupon",TRIM(Raw_Data!L1145))</f>
        <v/>
      </c>
      <c r="M1145" s="4">
        <f>PROPER(TRIM(Raw_Data!M1145))</f>
        <v/>
      </c>
      <c r="N1145" s="6">
        <f>ROUND(Raw_Data!N1145,2)</f>
        <v/>
      </c>
      <c r="O1145" s="7">
        <f>IF(COUNTIF($A$2:$A$1201,A1145)&gt;1,"DUPLICATE","Unique")</f>
        <v/>
      </c>
      <c r="P1145" s="7">
        <f>IF(COUNTIF($J$2:$J$1201,J1145)&gt;1,"DUPLICATE","Unique")</f>
        <v/>
      </c>
      <c r="Q1145" s="4">
        <f>IF(TRIM(Raw_Data!L1145)="","Yes","No")</f>
        <v/>
      </c>
      <c r="R1145" s="4">
        <f>IF(ISNUMBER(B1145),"Valid","INVALID")</f>
        <v/>
      </c>
    </row>
    <row r="1146">
      <c r="A1146" s="4">
        <f>TRIM(Raw_Data!A1146)</f>
        <v/>
      </c>
      <c r="B1146" s="5">
        <f>Raw_Data!B1146</f>
        <v/>
      </c>
      <c r="C1146" s="4">
        <f>TRIM(Raw_Data!C1146)</f>
        <v/>
      </c>
      <c r="D1146" s="4">
        <f>PROPER(TRIM(Raw_Data!D1146))</f>
        <v/>
      </c>
      <c r="E1146" s="4">
        <f>Raw_Data!E1146</f>
        <v/>
      </c>
      <c r="F1146" s="6">
        <f>ROUND(Raw_Data!F1146,2)</f>
        <v/>
      </c>
      <c r="G1146" s="4">
        <f>PROPER(TRIM(Raw_Data!G1146))</f>
        <v/>
      </c>
      <c r="H1146" s="4">
        <f>PROPER(TRIM(Raw_Data!H1146))</f>
        <v/>
      </c>
      <c r="I1146" s="4">
        <f>PROPER(TRIM(Raw_Data!I1146))</f>
        <v/>
      </c>
      <c r="J1146" s="4">
        <f>TRIM(Raw_Data!J1146)</f>
        <v/>
      </c>
      <c r="K1146" s="4">
        <f>Raw_Data!K1146</f>
        <v/>
      </c>
      <c r="L1146" s="4">
        <f>IF(TRIM(Raw_Data!L1146)="","No Coupon",TRIM(Raw_Data!L1146))</f>
        <v/>
      </c>
      <c r="M1146" s="4">
        <f>PROPER(TRIM(Raw_Data!M1146))</f>
        <v/>
      </c>
      <c r="N1146" s="6">
        <f>ROUND(Raw_Data!N1146,2)</f>
        <v/>
      </c>
      <c r="O1146" s="7">
        <f>IF(COUNTIF($A$2:$A$1201,A1146)&gt;1,"DUPLICATE","Unique")</f>
        <v/>
      </c>
      <c r="P1146" s="7">
        <f>IF(COUNTIF($J$2:$J$1201,J1146)&gt;1,"DUPLICATE","Unique")</f>
        <v/>
      </c>
      <c r="Q1146" s="4">
        <f>IF(TRIM(Raw_Data!L1146)="","Yes","No")</f>
        <v/>
      </c>
      <c r="R1146" s="4">
        <f>IF(ISNUMBER(B1146),"Valid","INVALID")</f>
        <v/>
      </c>
    </row>
    <row r="1147">
      <c r="A1147" s="4">
        <f>TRIM(Raw_Data!A1147)</f>
        <v/>
      </c>
      <c r="B1147" s="5">
        <f>Raw_Data!B1147</f>
        <v/>
      </c>
      <c r="C1147" s="4">
        <f>TRIM(Raw_Data!C1147)</f>
        <v/>
      </c>
      <c r="D1147" s="4">
        <f>PROPER(TRIM(Raw_Data!D1147))</f>
        <v/>
      </c>
      <c r="E1147" s="4">
        <f>Raw_Data!E1147</f>
        <v/>
      </c>
      <c r="F1147" s="6">
        <f>ROUND(Raw_Data!F1147,2)</f>
        <v/>
      </c>
      <c r="G1147" s="4">
        <f>PROPER(TRIM(Raw_Data!G1147))</f>
        <v/>
      </c>
      <c r="H1147" s="4">
        <f>PROPER(TRIM(Raw_Data!H1147))</f>
        <v/>
      </c>
      <c r="I1147" s="4">
        <f>PROPER(TRIM(Raw_Data!I1147))</f>
        <v/>
      </c>
      <c r="J1147" s="4">
        <f>TRIM(Raw_Data!J1147)</f>
        <v/>
      </c>
      <c r="K1147" s="4">
        <f>Raw_Data!K1147</f>
        <v/>
      </c>
      <c r="L1147" s="4">
        <f>IF(TRIM(Raw_Data!L1147)="","No Coupon",TRIM(Raw_Data!L1147))</f>
        <v/>
      </c>
      <c r="M1147" s="4">
        <f>PROPER(TRIM(Raw_Data!M1147))</f>
        <v/>
      </c>
      <c r="N1147" s="6">
        <f>ROUND(Raw_Data!N1147,2)</f>
        <v/>
      </c>
      <c r="O1147" s="7">
        <f>IF(COUNTIF($A$2:$A$1201,A1147)&gt;1,"DUPLICATE","Unique")</f>
        <v/>
      </c>
      <c r="P1147" s="7">
        <f>IF(COUNTIF($J$2:$J$1201,J1147)&gt;1,"DUPLICATE","Unique")</f>
        <v/>
      </c>
      <c r="Q1147" s="4">
        <f>IF(TRIM(Raw_Data!L1147)="","Yes","No")</f>
        <v/>
      </c>
      <c r="R1147" s="4">
        <f>IF(ISNUMBER(B1147),"Valid","INVALID")</f>
        <v/>
      </c>
    </row>
    <row r="1148">
      <c r="A1148" s="4">
        <f>TRIM(Raw_Data!A1148)</f>
        <v/>
      </c>
      <c r="B1148" s="5">
        <f>Raw_Data!B1148</f>
        <v/>
      </c>
      <c r="C1148" s="4">
        <f>TRIM(Raw_Data!C1148)</f>
        <v/>
      </c>
      <c r="D1148" s="4">
        <f>PROPER(TRIM(Raw_Data!D1148))</f>
        <v/>
      </c>
      <c r="E1148" s="4">
        <f>Raw_Data!E1148</f>
        <v/>
      </c>
      <c r="F1148" s="6">
        <f>ROUND(Raw_Data!F1148,2)</f>
        <v/>
      </c>
      <c r="G1148" s="4">
        <f>PROPER(TRIM(Raw_Data!G1148))</f>
        <v/>
      </c>
      <c r="H1148" s="4">
        <f>PROPER(TRIM(Raw_Data!H1148))</f>
        <v/>
      </c>
      <c r="I1148" s="4">
        <f>PROPER(TRIM(Raw_Data!I1148))</f>
        <v/>
      </c>
      <c r="J1148" s="4">
        <f>TRIM(Raw_Data!J1148)</f>
        <v/>
      </c>
      <c r="K1148" s="4">
        <f>Raw_Data!K1148</f>
        <v/>
      </c>
      <c r="L1148" s="4">
        <f>IF(TRIM(Raw_Data!L1148)="","No Coupon",TRIM(Raw_Data!L1148))</f>
        <v/>
      </c>
      <c r="M1148" s="4">
        <f>PROPER(TRIM(Raw_Data!M1148))</f>
        <v/>
      </c>
      <c r="N1148" s="6">
        <f>ROUND(Raw_Data!N1148,2)</f>
        <v/>
      </c>
      <c r="O1148" s="7">
        <f>IF(COUNTIF($A$2:$A$1201,A1148)&gt;1,"DUPLICATE","Unique")</f>
        <v/>
      </c>
      <c r="P1148" s="7">
        <f>IF(COUNTIF($J$2:$J$1201,J1148)&gt;1,"DUPLICATE","Unique")</f>
        <v/>
      </c>
      <c r="Q1148" s="4">
        <f>IF(TRIM(Raw_Data!L1148)="","Yes","No")</f>
        <v/>
      </c>
      <c r="R1148" s="4">
        <f>IF(ISNUMBER(B1148),"Valid","INVALID")</f>
        <v/>
      </c>
    </row>
    <row r="1149">
      <c r="A1149" s="4">
        <f>TRIM(Raw_Data!A1149)</f>
        <v/>
      </c>
      <c r="B1149" s="5">
        <f>Raw_Data!B1149</f>
        <v/>
      </c>
      <c r="C1149" s="4">
        <f>TRIM(Raw_Data!C1149)</f>
        <v/>
      </c>
      <c r="D1149" s="4">
        <f>PROPER(TRIM(Raw_Data!D1149))</f>
        <v/>
      </c>
      <c r="E1149" s="4">
        <f>Raw_Data!E1149</f>
        <v/>
      </c>
      <c r="F1149" s="6">
        <f>ROUND(Raw_Data!F1149,2)</f>
        <v/>
      </c>
      <c r="G1149" s="4">
        <f>PROPER(TRIM(Raw_Data!G1149))</f>
        <v/>
      </c>
      <c r="H1149" s="4">
        <f>PROPER(TRIM(Raw_Data!H1149))</f>
        <v/>
      </c>
      <c r="I1149" s="4">
        <f>PROPER(TRIM(Raw_Data!I1149))</f>
        <v/>
      </c>
      <c r="J1149" s="4">
        <f>TRIM(Raw_Data!J1149)</f>
        <v/>
      </c>
      <c r="K1149" s="4">
        <f>Raw_Data!K1149</f>
        <v/>
      </c>
      <c r="L1149" s="4">
        <f>IF(TRIM(Raw_Data!L1149)="","No Coupon",TRIM(Raw_Data!L1149))</f>
        <v/>
      </c>
      <c r="M1149" s="4">
        <f>PROPER(TRIM(Raw_Data!M1149))</f>
        <v/>
      </c>
      <c r="N1149" s="6">
        <f>ROUND(Raw_Data!N1149,2)</f>
        <v/>
      </c>
      <c r="O1149" s="7">
        <f>IF(COUNTIF($A$2:$A$1201,A1149)&gt;1,"DUPLICATE","Unique")</f>
        <v/>
      </c>
      <c r="P1149" s="7">
        <f>IF(COUNTIF($J$2:$J$1201,J1149)&gt;1,"DUPLICATE","Unique")</f>
        <v/>
      </c>
      <c r="Q1149" s="4">
        <f>IF(TRIM(Raw_Data!L1149)="","Yes","No")</f>
        <v/>
      </c>
      <c r="R1149" s="4">
        <f>IF(ISNUMBER(B1149),"Valid","INVALID")</f>
        <v/>
      </c>
    </row>
    <row r="1150">
      <c r="A1150" s="4">
        <f>TRIM(Raw_Data!A1150)</f>
        <v/>
      </c>
      <c r="B1150" s="5">
        <f>Raw_Data!B1150</f>
        <v/>
      </c>
      <c r="C1150" s="4">
        <f>TRIM(Raw_Data!C1150)</f>
        <v/>
      </c>
      <c r="D1150" s="4">
        <f>PROPER(TRIM(Raw_Data!D1150))</f>
        <v/>
      </c>
      <c r="E1150" s="4">
        <f>Raw_Data!E1150</f>
        <v/>
      </c>
      <c r="F1150" s="6">
        <f>ROUND(Raw_Data!F1150,2)</f>
        <v/>
      </c>
      <c r="G1150" s="4">
        <f>PROPER(TRIM(Raw_Data!G1150))</f>
        <v/>
      </c>
      <c r="H1150" s="4">
        <f>PROPER(TRIM(Raw_Data!H1150))</f>
        <v/>
      </c>
      <c r="I1150" s="4">
        <f>PROPER(TRIM(Raw_Data!I1150))</f>
        <v/>
      </c>
      <c r="J1150" s="4">
        <f>TRIM(Raw_Data!J1150)</f>
        <v/>
      </c>
      <c r="K1150" s="4">
        <f>Raw_Data!K1150</f>
        <v/>
      </c>
      <c r="L1150" s="4">
        <f>IF(TRIM(Raw_Data!L1150)="","No Coupon",TRIM(Raw_Data!L1150))</f>
        <v/>
      </c>
      <c r="M1150" s="4">
        <f>PROPER(TRIM(Raw_Data!M1150))</f>
        <v/>
      </c>
      <c r="N1150" s="6">
        <f>ROUND(Raw_Data!N1150,2)</f>
        <v/>
      </c>
      <c r="O1150" s="7">
        <f>IF(COUNTIF($A$2:$A$1201,A1150)&gt;1,"DUPLICATE","Unique")</f>
        <v/>
      </c>
      <c r="P1150" s="7">
        <f>IF(COUNTIF($J$2:$J$1201,J1150)&gt;1,"DUPLICATE","Unique")</f>
        <v/>
      </c>
      <c r="Q1150" s="4">
        <f>IF(TRIM(Raw_Data!L1150)="","Yes","No")</f>
        <v/>
      </c>
      <c r="R1150" s="4">
        <f>IF(ISNUMBER(B1150),"Valid","INVALID")</f>
        <v/>
      </c>
    </row>
    <row r="1151">
      <c r="A1151" s="4">
        <f>TRIM(Raw_Data!A1151)</f>
        <v/>
      </c>
      <c r="B1151" s="5">
        <f>Raw_Data!B1151</f>
        <v/>
      </c>
      <c r="C1151" s="4">
        <f>TRIM(Raw_Data!C1151)</f>
        <v/>
      </c>
      <c r="D1151" s="4">
        <f>PROPER(TRIM(Raw_Data!D1151))</f>
        <v/>
      </c>
      <c r="E1151" s="4">
        <f>Raw_Data!E1151</f>
        <v/>
      </c>
      <c r="F1151" s="6">
        <f>ROUND(Raw_Data!F1151,2)</f>
        <v/>
      </c>
      <c r="G1151" s="4">
        <f>PROPER(TRIM(Raw_Data!G1151))</f>
        <v/>
      </c>
      <c r="H1151" s="4">
        <f>PROPER(TRIM(Raw_Data!H1151))</f>
        <v/>
      </c>
      <c r="I1151" s="4">
        <f>PROPER(TRIM(Raw_Data!I1151))</f>
        <v/>
      </c>
      <c r="J1151" s="4">
        <f>TRIM(Raw_Data!J1151)</f>
        <v/>
      </c>
      <c r="K1151" s="4">
        <f>Raw_Data!K1151</f>
        <v/>
      </c>
      <c r="L1151" s="4">
        <f>IF(TRIM(Raw_Data!L1151)="","No Coupon",TRIM(Raw_Data!L1151))</f>
        <v/>
      </c>
      <c r="M1151" s="4">
        <f>PROPER(TRIM(Raw_Data!M1151))</f>
        <v/>
      </c>
      <c r="N1151" s="6">
        <f>ROUND(Raw_Data!N1151,2)</f>
        <v/>
      </c>
      <c r="O1151" s="7">
        <f>IF(COUNTIF($A$2:$A$1201,A1151)&gt;1,"DUPLICATE","Unique")</f>
        <v/>
      </c>
      <c r="P1151" s="7">
        <f>IF(COUNTIF($J$2:$J$1201,J1151)&gt;1,"DUPLICATE","Unique")</f>
        <v/>
      </c>
      <c r="Q1151" s="4">
        <f>IF(TRIM(Raw_Data!L1151)="","Yes","No")</f>
        <v/>
      </c>
      <c r="R1151" s="4">
        <f>IF(ISNUMBER(B1151),"Valid","INVALID")</f>
        <v/>
      </c>
    </row>
    <row r="1152">
      <c r="A1152" s="4">
        <f>TRIM(Raw_Data!A1152)</f>
        <v/>
      </c>
      <c r="B1152" s="5">
        <f>Raw_Data!B1152</f>
        <v/>
      </c>
      <c r="C1152" s="4">
        <f>TRIM(Raw_Data!C1152)</f>
        <v/>
      </c>
      <c r="D1152" s="4">
        <f>PROPER(TRIM(Raw_Data!D1152))</f>
        <v/>
      </c>
      <c r="E1152" s="4">
        <f>Raw_Data!E1152</f>
        <v/>
      </c>
      <c r="F1152" s="6">
        <f>ROUND(Raw_Data!F1152,2)</f>
        <v/>
      </c>
      <c r="G1152" s="4">
        <f>PROPER(TRIM(Raw_Data!G1152))</f>
        <v/>
      </c>
      <c r="H1152" s="4">
        <f>PROPER(TRIM(Raw_Data!H1152))</f>
        <v/>
      </c>
      <c r="I1152" s="4">
        <f>PROPER(TRIM(Raw_Data!I1152))</f>
        <v/>
      </c>
      <c r="J1152" s="4">
        <f>TRIM(Raw_Data!J1152)</f>
        <v/>
      </c>
      <c r="K1152" s="4">
        <f>Raw_Data!K1152</f>
        <v/>
      </c>
      <c r="L1152" s="4">
        <f>IF(TRIM(Raw_Data!L1152)="","No Coupon",TRIM(Raw_Data!L1152))</f>
        <v/>
      </c>
      <c r="M1152" s="4">
        <f>PROPER(TRIM(Raw_Data!M1152))</f>
        <v/>
      </c>
      <c r="N1152" s="6">
        <f>ROUND(Raw_Data!N1152,2)</f>
        <v/>
      </c>
      <c r="O1152" s="7">
        <f>IF(COUNTIF($A$2:$A$1201,A1152)&gt;1,"DUPLICATE","Unique")</f>
        <v/>
      </c>
      <c r="P1152" s="7">
        <f>IF(COUNTIF($J$2:$J$1201,J1152)&gt;1,"DUPLICATE","Unique")</f>
        <v/>
      </c>
      <c r="Q1152" s="4">
        <f>IF(TRIM(Raw_Data!L1152)="","Yes","No")</f>
        <v/>
      </c>
      <c r="R1152" s="4">
        <f>IF(ISNUMBER(B1152),"Valid","INVALID")</f>
        <v/>
      </c>
    </row>
    <row r="1153">
      <c r="A1153" s="4">
        <f>TRIM(Raw_Data!A1153)</f>
        <v/>
      </c>
      <c r="B1153" s="5">
        <f>Raw_Data!B1153</f>
        <v/>
      </c>
      <c r="C1153" s="4">
        <f>TRIM(Raw_Data!C1153)</f>
        <v/>
      </c>
      <c r="D1153" s="4">
        <f>PROPER(TRIM(Raw_Data!D1153))</f>
        <v/>
      </c>
      <c r="E1153" s="4">
        <f>Raw_Data!E1153</f>
        <v/>
      </c>
      <c r="F1153" s="6">
        <f>ROUND(Raw_Data!F1153,2)</f>
        <v/>
      </c>
      <c r="G1153" s="4">
        <f>PROPER(TRIM(Raw_Data!G1153))</f>
        <v/>
      </c>
      <c r="H1153" s="4">
        <f>PROPER(TRIM(Raw_Data!H1153))</f>
        <v/>
      </c>
      <c r="I1153" s="4">
        <f>PROPER(TRIM(Raw_Data!I1153))</f>
        <v/>
      </c>
      <c r="J1153" s="4">
        <f>TRIM(Raw_Data!J1153)</f>
        <v/>
      </c>
      <c r="K1153" s="4">
        <f>Raw_Data!K1153</f>
        <v/>
      </c>
      <c r="L1153" s="4">
        <f>IF(TRIM(Raw_Data!L1153)="","No Coupon",TRIM(Raw_Data!L1153))</f>
        <v/>
      </c>
      <c r="M1153" s="4">
        <f>PROPER(TRIM(Raw_Data!M1153))</f>
        <v/>
      </c>
      <c r="N1153" s="6">
        <f>ROUND(Raw_Data!N1153,2)</f>
        <v/>
      </c>
      <c r="O1153" s="7">
        <f>IF(COUNTIF($A$2:$A$1201,A1153)&gt;1,"DUPLICATE","Unique")</f>
        <v/>
      </c>
      <c r="P1153" s="7">
        <f>IF(COUNTIF($J$2:$J$1201,J1153)&gt;1,"DUPLICATE","Unique")</f>
        <v/>
      </c>
      <c r="Q1153" s="4">
        <f>IF(TRIM(Raw_Data!L1153)="","Yes","No")</f>
        <v/>
      </c>
      <c r="R1153" s="4">
        <f>IF(ISNUMBER(B1153),"Valid","INVALID")</f>
        <v/>
      </c>
    </row>
    <row r="1154">
      <c r="A1154" s="4">
        <f>TRIM(Raw_Data!A1154)</f>
        <v/>
      </c>
      <c r="B1154" s="5">
        <f>Raw_Data!B1154</f>
        <v/>
      </c>
      <c r="C1154" s="4">
        <f>TRIM(Raw_Data!C1154)</f>
        <v/>
      </c>
      <c r="D1154" s="4">
        <f>PROPER(TRIM(Raw_Data!D1154))</f>
        <v/>
      </c>
      <c r="E1154" s="4">
        <f>Raw_Data!E1154</f>
        <v/>
      </c>
      <c r="F1154" s="6">
        <f>ROUND(Raw_Data!F1154,2)</f>
        <v/>
      </c>
      <c r="G1154" s="4">
        <f>PROPER(TRIM(Raw_Data!G1154))</f>
        <v/>
      </c>
      <c r="H1154" s="4">
        <f>PROPER(TRIM(Raw_Data!H1154))</f>
        <v/>
      </c>
      <c r="I1154" s="4">
        <f>PROPER(TRIM(Raw_Data!I1154))</f>
        <v/>
      </c>
      <c r="J1154" s="4">
        <f>TRIM(Raw_Data!J1154)</f>
        <v/>
      </c>
      <c r="K1154" s="4">
        <f>Raw_Data!K1154</f>
        <v/>
      </c>
      <c r="L1154" s="4">
        <f>IF(TRIM(Raw_Data!L1154)="","No Coupon",TRIM(Raw_Data!L1154))</f>
        <v/>
      </c>
      <c r="M1154" s="4">
        <f>PROPER(TRIM(Raw_Data!M1154))</f>
        <v/>
      </c>
      <c r="N1154" s="6">
        <f>ROUND(Raw_Data!N1154,2)</f>
        <v/>
      </c>
      <c r="O1154" s="7">
        <f>IF(COUNTIF($A$2:$A$1201,A1154)&gt;1,"DUPLICATE","Unique")</f>
        <v/>
      </c>
      <c r="P1154" s="7">
        <f>IF(COUNTIF($J$2:$J$1201,J1154)&gt;1,"DUPLICATE","Unique")</f>
        <v/>
      </c>
      <c r="Q1154" s="4">
        <f>IF(TRIM(Raw_Data!L1154)="","Yes","No")</f>
        <v/>
      </c>
      <c r="R1154" s="4">
        <f>IF(ISNUMBER(B1154),"Valid","INVALID")</f>
        <v/>
      </c>
    </row>
    <row r="1155">
      <c r="A1155" s="4">
        <f>TRIM(Raw_Data!A1155)</f>
        <v/>
      </c>
      <c r="B1155" s="5">
        <f>Raw_Data!B1155</f>
        <v/>
      </c>
      <c r="C1155" s="4">
        <f>TRIM(Raw_Data!C1155)</f>
        <v/>
      </c>
      <c r="D1155" s="4">
        <f>PROPER(TRIM(Raw_Data!D1155))</f>
        <v/>
      </c>
      <c r="E1155" s="4">
        <f>Raw_Data!E1155</f>
        <v/>
      </c>
      <c r="F1155" s="6">
        <f>ROUND(Raw_Data!F1155,2)</f>
        <v/>
      </c>
      <c r="G1155" s="4">
        <f>PROPER(TRIM(Raw_Data!G1155))</f>
        <v/>
      </c>
      <c r="H1155" s="4">
        <f>PROPER(TRIM(Raw_Data!H1155))</f>
        <v/>
      </c>
      <c r="I1155" s="4">
        <f>PROPER(TRIM(Raw_Data!I1155))</f>
        <v/>
      </c>
      <c r="J1155" s="4">
        <f>TRIM(Raw_Data!J1155)</f>
        <v/>
      </c>
      <c r="K1155" s="4">
        <f>Raw_Data!K1155</f>
        <v/>
      </c>
      <c r="L1155" s="4">
        <f>IF(TRIM(Raw_Data!L1155)="","No Coupon",TRIM(Raw_Data!L1155))</f>
        <v/>
      </c>
      <c r="M1155" s="4">
        <f>PROPER(TRIM(Raw_Data!M1155))</f>
        <v/>
      </c>
      <c r="N1155" s="6">
        <f>ROUND(Raw_Data!N1155,2)</f>
        <v/>
      </c>
      <c r="O1155" s="7">
        <f>IF(COUNTIF($A$2:$A$1201,A1155)&gt;1,"DUPLICATE","Unique")</f>
        <v/>
      </c>
      <c r="P1155" s="7">
        <f>IF(COUNTIF($J$2:$J$1201,J1155)&gt;1,"DUPLICATE","Unique")</f>
        <v/>
      </c>
      <c r="Q1155" s="4">
        <f>IF(TRIM(Raw_Data!L1155)="","Yes","No")</f>
        <v/>
      </c>
      <c r="R1155" s="4">
        <f>IF(ISNUMBER(B1155),"Valid","INVALID")</f>
        <v/>
      </c>
    </row>
    <row r="1156">
      <c r="A1156" s="4">
        <f>TRIM(Raw_Data!A1156)</f>
        <v/>
      </c>
      <c r="B1156" s="5">
        <f>Raw_Data!B1156</f>
        <v/>
      </c>
      <c r="C1156" s="4">
        <f>TRIM(Raw_Data!C1156)</f>
        <v/>
      </c>
      <c r="D1156" s="4">
        <f>PROPER(TRIM(Raw_Data!D1156))</f>
        <v/>
      </c>
      <c r="E1156" s="4">
        <f>Raw_Data!E1156</f>
        <v/>
      </c>
      <c r="F1156" s="6">
        <f>ROUND(Raw_Data!F1156,2)</f>
        <v/>
      </c>
      <c r="G1156" s="4">
        <f>PROPER(TRIM(Raw_Data!G1156))</f>
        <v/>
      </c>
      <c r="H1156" s="4">
        <f>PROPER(TRIM(Raw_Data!H1156))</f>
        <v/>
      </c>
      <c r="I1156" s="4">
        <f>PROPER(TRIM(Raw_Data!I1156))</f>
        <v/>
      </c>
      <c r="J1156" s="4">
        <f>TRIM(Raw_Data!J1156)</f>
        <v/>
      </c>
      <c r="K1156" s="4">
        <f>Raw_Data!K1156</f>
        <v/>
      </c>
      <c r="L1156" s="4">
        <f>IF(TRIM(Raw_Data!L1156)="","No Coupon",TRIM(Raw_Data!L1156))</f>
        <v/>
      </c>
      <c r="M1156" s="4">
        <f>PROPER(TRIM(Raw_Data!M1156))</f>
        <v/>
      </c>
      <c r="N1156" s="6">
        <f>ROUND(Raw_Data!N1156,2)</f>
        <v/>
      </c>
      <c r="O1156" s="7">
        <f>IF(COUNTIF($A$2:$A$1201,A1156)&gt;1,"DUPLICATE","Unique")</f>
        <v/>
      </c>
      <c r="P1156" s="7">
        <f>IF(COUNTIF($J$2:$J$1201,J1156)&gt;1,"DUPLICATE","Unique")</f>
        <v/>
      </c>
      <c r="Q1156" s="4">
        <f>IF(TRIM(Raw_Data!L1156)="","Yes","No")</f>
        <v/>
      </c>
      <c r="R1156" s="4">
        <f>IF(ISNUMBER(B1156),"Valid","INVALID")</f>
        <v/>
      </c>
    </row>
    <row r="1157">
      <c r="A1157" s="4">
        <f>TRIM(Raw_Data!A1157)</f>
        <v/>
      </c>
      <c r="B1157" s="5">
        <f>Raw_Data!B1157</f>
        <v/>
      </c>
      <c r="C1157" s="4">
        <f>TRIM(Raw_Data!C1157)</f>
        <v/>
      </c>
      <c r="D1157" s="4">
        <f>PROPER(TRIM(Raw_Data!D1157))</f>
        <v/>
      </c>
      <c r="E1157" s="4">
        <f>Raw_Data!E1157</f>
        <v/>
      </c>
      <c r="F1157" s="6">
        <f>ROUND(Raw_Data!F1157,2)</f>
        <v/>
      </c>
      <c r="G1157" s="4">
        <f>PROPER(TRIM(Raw_Data!G1157))</f>
        <v/>
      </c>
      <c r="H1157" s="4">
        <f>PROPER(TRIM(Raw_Data!H1157))</f>
        <v/>
      </c>
      <c r="I1157" s="4">
        <f>PROPER(TRIM(Raw_Data!I1157))</f>
        <v/>
      </c>
      <c r="J1157" s="4">
        <f>TRIM(Raw_Data!J1157)</f>
        <v/>
      </c>
      <c r="K1157" s="4">
        <f>Raw_Data!K1157</f>
        <v/>
      </c>
      <c r="L1157" s="4">
        <f>IF(TRIM(Raw_Data!L1157)="","No Coupon",TRIM(Raw_Data!L1157))</f>
        <v/>
      </c>
      <c r="M1157" s="4">
        <f>PROPER(TRIM(Raw_Data!M1157))</f>
        <v/>
      </c>
      <c r="N1157" s="6">
        <f>ROUND(Raw_Data!N1157,2)</f>
        <v/>
      </c>
      <c r="O1157" s="7">
        <f>IF(COUNTIF($A$2:$A$1201,A1157)&gt;1,"DUPLICATE","Unique")</f>
        <v/>
      </c>
      <c r="P1157" s="7">
        <f>IF(COUNTIF($J$2:$J$1201,J1157)&gt;1,"DUPLICATE","Unique")</f>
        <v/>
      </c>
      <c r="Q1157" s="4">
        <f>IF(TRIM(Raw_Data!L1157)="","Yes","No")</f>
        <v/>
      </c>
      <c r="R1157" s="4">
        <f>IF(ISNUMBER(B1157),"Valid","INVALID")</f>
        <v/>
      </c>
    </row>
    <row r="1158">
      <c r="A1158" s="4">
        <f>TRIM(Raw_Data!A1158)</f>
        <v/>
      </c>
      <c r="B1158" s="5">
        <f>Raw_Data!B1158</f>
        <v/>
      </c>
      <c r="C1158" s="4">
        <f>TRIM(Raw_Data!C1158)</f>
        <v/>
      </c>
      <c r="D1158" s="4">
        <f>PROPER(TRIM(Raw_Data!D1158))</f>
        <v/>
      </c>
      <c r="E1158" s="4">
        <f>Raw_Data!E1158</f>
        <v/>
      </c>
      <c r="F1158" s="6">
        <f>ROUND(Raw_Data!F1158,2)</f>
        <v/>
      </c>
      <c r="G1158" s="4">
        <f>PROPER(TRIM(Raw_Data!G1158))</f>
        <v/>
      </c>
      <c r="H1158" s="4">
        <f>PROPER(TRIM(Raw_Data!H1158))</f>
        <v/>
      </c>
      <c r="I1158" s="4">
        <f>PROPER(TRIM(Raw_Data!I1158))</f>
        <v/>
      </c>
      <c r="J1158" s="4">
        <f>TRIM(Raw_Data!J1158)</f>
        <v/>
      </c>
      <c r="K1158" s="4">
        <f>Raw_Data!K1158</f>
        <v/>
      </c>
      <c r="L1158" s="4">
        <f>IF(TRIM(Raw_Data!L1158)="","No Coupon",TRIM(Raw_Data!L1158))</f>
        <v/>
      </c>
      <c r="M1158" s="4">
        <f>PROPER(TRIM(Raw_Data!M1158))</f>
        <v/>
      </c>
      <c r="N1158" s="6">
        <f>ROUND(Raw_Data!N1158,2)</f>
        <v/>
      </c>
      <c r="O1158" s="7">
        <f>IF(COUNTIF($A$2:$A$1201,A1158)&gt;1,"DUPLICATE","Unique")</f>
        <v/>
      </c>
      <c r="P1158" s="7">
        <f>IF(COUNTIF($J$2:$J$1201,J1158)&gt;1,"DUPLICATE","Unique")</f>
        <v/>
      </c>
      <c r="Q1158" s="4">
        <f>IF(TRIM(Raw_Data!L1158)="","Yes","No")</f>
        <v/>
      </c>
      <c r="R1158" s="4">
        <f>IF(ISNUMBER(B1158),"Valid","INVALID")</f>
        <v/>
      </c>
    </row>
    <row r="1159">
      <c r="A1159" s="4">
        <f>TRIM(Raw_Data!A1159)</f>
        <v/>
      </c>
      <c r="B1159" s="5">
        <f>Raw_Data!B1159</f>
        <v/>
      </c>
      <c r="C1159" s="4">
        <f>TRIM(Raw_Data!C1159)</f>
        <v/>
      </c>
      <c r="D1159" s="4">
        <f>PROPER(TRIM(Raw_Data!D1159))</f>
        <v/>
      </c>
      <c r="E1159" s="4">
        <f>Raw_Data!E1159</f>
        <v/>
      </c>
      <c r="F1159" s="6">
        <f>ROUND(Raw_Data!F1159,2)</f>
        <v/>
      </c>
      <c r="G1159" s="4">
        <f>PROPER(TRIM(Raw_Data!G1159))</f>
        <v/>
      </c>
      <c r="H1159" s="4">
        <f>PROPER(TRIM(Raw_Data!H1159))</f>
        <v/>
      </c>
      <c r="I1159" s="4">
        <f>PROPER(TRIM(Raw_Data!I1159))</f>
        <v/>
      </c>
      <c r="J1159" s="4">
        <f>TRIM(Raw_Data!J1159)</f>
        <v/>
      </c>
      <c r="K1159" s="4">
        <f>Raw_Data!K1159</f>
        <v/>
      </c>
      <c r="L1159" s="4">
        <f>IF(TRIM(Raw_Data!L1159)="","No Coupon",TRIM(Raw_Data!L1159))</f>
        <v/>
      </c>
      <c r="M1159" s="4">
        <f>PROPER(TRIM(Raw_Data!M1159))</f>
        <v/>
      </c>
      <c r="N1159" s="6">
        <f>ROUND(Raw_Data!N1159,2)</f>
        <v/>
      </c>
      <c r="O1159" s="7">
        <f>IF(COUNTIF($A$2:$A$1201,A1159)&gt;1,"DUPLICATE","Unique")</f>
        <v/>
      </c>
      <c r="P1159" s="7">
        <f>IF(COUNTIF($J$2:$J$1201,J1159)&gt;1,"DUPLICATE","Unique")</f>
        <v/>
      </c>
      <c r="Q1159" s="4">
        <f>IF(TRIM(Raw_Data!L1159)="","Yes","No")</f>
        <v/>
      </c>
      <c r="R1159" s="4">
        <f>IF(ISNUMBER(B1159),"Valid","INVALID")</f>
        <v/>
      </c>
    </row>
    <row r="1160">
      <c r="A1160" s="4">
        <f>TRIM(Raw_Data!A1160)</f>
        <v/>
      </c>
      <c r="B1160" s="5">
        <f>Raw_Data!B1160</f>
        <v/>
      </c>
      <c r="C1160" s="4">
        <f>TRIM(Raw_Data!C1160)</f>
        <v/>
      </c>
      <c r="D1160" s="4">
        <f>PROPER(TRIM(Raw_Data!D1160))</f>
        <v/>
      </c>
      <c r="E1160" s="4">
        <f>Raw_Data!E1160</f>
        <v/>
      </c>
      <c r="F1160" s="6">
        <f>ROUND(Raw_Data!F1160,2)</f>
        <v/>
      </c>
      <c r="G1160" s="4">
        <f>PROPER(TRIM(Raw_Data!G1160))</f>
        <v/>
      </c>
      <c r="H1160" s="4">
        <f>PROPER(TRIM(Raw_Data!H1160))</f>
        <v/>
      </c>
      <c r="I1160" s="4">
        <f>PROPER(TRIM(Raw_Data!I1160))</f>
        <v/>
      </c>
      <c r="J1160" s="4">
        <f>TRIM(Raw_Data!J1160)</f>
        <v/>
      </c>
      <c r="K1160" s="4">
        <f>Raw_Data!K1160</f>
        <v/>
      </c>
      <c r="L1160" s="4">
        <f>IF(TRIM(Raw_Data!L1160)="","No Coupon",TRIM(Raw_Data!L1160))</f>
        <v/>
      </c>
      <c r="M1160" s="4">
        <f>PROPER(TRIM(Raw_Data!M1160))</f>
        <v/>
      </c>
      <c r="N1160" s="6">
        <f>ROUND(Raw_Data!N1160,2)</f>
        <v/>
      </c>
      <c r="O1160" s="7">
        <f>IF(COUNTIF($A$2:$A$1201,A1160)&gt;1,"DUPLICATE","Unique")</f>
        <v/>
      </c>
      <c r="P1160" s="7">
        <f>IF(COUNTIF($J$2:$J$1201,J1160)&gt;1,"DUPLICATE","Unique")</f>
        <v/>
      </c>
      <c r="Q1160" s="4">
        <f>IF(TRIM(Raw_Data!L1160)="","Yes","No")</f>
        <v/>
      </c>
      <c r="R1160" s="4">
        <f>IF(ISNUMBER(B1160),"Valid","INVALID")</f>
        <v/>
      </c>
    </row>
    <row r="1161">
      <c r="A1161" s="4">
        <f>TRIM(Raw_Data!A1161)</f>
        <v/>
      </c>
      <c r="B1161" s="5">
        <f>Raw_Data!B1161</f>
        <v/>
      </c>
      <c r="C1161" s="4">
        <f>TRIM(Raw_Data!C1161)</f>
        <v/>
      </c>
      <c r="D1161" s="4">
        <f>PROPER(TRIM(Raw_Data!D1161))</f>
        <v/>
      </c>
      <c r="E1161" s="4">
        <f>Raw_Data!E1161</f>
        <v/>
      </c>
      <c r="F1161" s="6">
        <f>ROUND(Raw_Data!F1161,2)</f>
        <v/>
      </c>
      <c r="G1161" s="4">
        <f>PROPER(TRIM(Raw_Data!G1161))</f>
        <v/>
      </c>
      <c r="H1161" s="4">
        <f>PROPER(TRIM(Raw_Data!H1161))</f>
        <v/>
      </c>
      <c r="I1161" s="4">
        <f>PROPER(TRIM(Raw_Data!I1161))</f>
        <v/>
      </c>
      <c r="J1161" s="4">
        <f>TRIM(Raw_Data!J1161)</f>
        <v/>
      </c>
      <c r="K1161" s="4">
        <f>Raw_Data!K1161</f>
        <v/>
      </c>
      <c r="L1161" s="4">
        <f>IF(TRIM(Raw_Data!L1161)="","No Coupon",TRIM(Raw_Data!L1161))</f>
        <v/>
      </c>
      <c r="M1161" s="4">
        <f>PROPER(TRIM(Raw_Data!M1161))</f>
        <v/>
      </c>
      <c r="N1161" s="6">
        <f>ROUND(Raw_Data!N1161,2)</f>
        <v/>
      </c>
      <c r="O1161" s="7">
        <f>IF(COUNTIF($A$2:$A$1201,A1161)&gt;1,"DUPLICATE","Unique")</f>
        <v/>
      </c>
      <c r="P1161" s="7">
        <f>IF(COUNTIF($J$2:$J$1201,J1161)&gt;1,"DUPLICATE","Unique")</f>
        <v/>
      </c>
      <c r="Q1161" s="4">
        <f>IF(TRIM(Raw_Data!L1161)="","Yes","No")</f>
        <v/>
      </c>
      <c r="R1161" s="4">
        <f>IF(ISNUMBER(B1161),"Valid","INVALID")</f>
        <v/>
      </c>
    </row>
    <row r="1162">
      <c r="A1162" s="4">
        <f>TRIM(Raw_Data!A1162)</f>
        <v/>
      </c>
      <c r="B1162" s="5">
        <f>Raw_Data!B1162</f>
        <v/>
      </c>
      <c r="C1162" s="4">
        <f>TRIM(Raw_Data!C1162)</f>
        <v/>
      </c>
      <c r="D1162" s="4">
        <f>PROPER(TRIM(Raw_Data!D1162))</f>
        <v/>
      </c>
      <c r="E1162" s="4">
        <f>Raw_Data!E1162</f>
        <v/>
      </c>
      <c r="F1162" s="6">
        <f>ROUND(Raw_Data!F1162,2)</f>
        <v/>
      </c>
      <c r="G1162" s="4">
        <f>PROPER(TRIM(Raw_Data!G1162))</f>
        <v/>
      </c>
      <c r="H1162" s="4">
        <f>PROPER(TRIM(Raw_Data!H1162))</f>
        <v/>
      </c>
      <c r="I1162" s="4">
        <f>PROPER(TRIM(Raw_Data!I1162))</f>
        <v/>
      </c>
      <c r="J1162" s="4">
        <f>TRIM(Raw_Data!J1162)</f>
        <v/>
      </c>
      <c r="K1162" s="4">
        <f>Raw_Data!K1162</f>
        <v/>
      </c>
      <c r="L1162" s="4">
        <f>IF(TRIM(Raw_Data!L1162)="","No Coupon",TRIM(Raw_Data!L1162))</f>
        <v/>
      </c>
      <c r="M1162" s="4">
        <f>PROPER(TRIM(Raw_Data!M1162))</f>
        <v/>
      </c>
      <c r="N1162" s="6">
        <f>ROUND(Raw_Data!N1162,2)</f>
        <v/>
      </c>
      <c r="O1162" s="7">
        <f>IF(COUNTIF($A$2:$A$1201,A1162)&gt;1,"DUPLICATE","Unique")</f>
        <v/>
      </c>
      <c r="P1162" s="7">
        <f>IF(COUNTIF($J$2:$J$1201,J1162)&gt;1,"DUPLICATE","Unique")</f>
        <v/>
      </c>
      <c r="Q1162" s="4">
        <f>IF(TRIM(Raw_Data!L1162)="","Yes","No")</f>
        <v/>
      </c>
      <c r="R1162" s="4">
        <f>IF(ISNUMBER(B1162),"Valid","INVALID")</f>
        <v/>
      </c>
    </row>
    <row r="1163">
      <c r="A1163" s="4">
        <f>TRIM(Raw_Data!A1163)</f>
        <v/>
      </c>
      <c r="B1163" s="5">
        <f>Raw_Data!B1163</f>
        <v/>
      </c>
      <c r="C1163" s="4">
        <f>TRIM(Raw_Data!C1163)</f>
        <v/>
      </c>
      <c r="D1163" s="4">
        <f>PROPER(TRIM(Raw_Data!D1163))</f>
        <v/>
      </c>
      <c r="E1163" s="4">
        <f>Raw_Data!E1163</f>
        <v/>
      </c>
      <c r="F1163" s="6">
        <f>ROUND(Raw_Data!F1163,2)</f>
        <v/>
      </c>
      <c r="G1163" s="4">
        <f>PROPER(TRIM(Raw_Data!G1163))</f>
        <v/>
      </c>
      <c r="H1163" s="4">
        <f>PROPER(TRIM(Raw_Data!H1163))</f>
        <v/>
      </c>
      <c r="I1163" s="4">
        <f>PROPER(TRIM(Raw_Data!I1163))</f>
        <v/>
      </c>
      <c r="J1163" s="4">
        <f>TRIM(Raw_Data!J1163)</f>
        <v/>
      </c>
      <c r="K1163" s="4">
        <f>Raw_Data!K1163</f>
        <v/>
      </c>
      <c r="L1163" s="4">
        <f>IF(TRIM(Raw_Data!L1163)="","No Coupon",TRIM(Raw_Data!L1163))</f>
        <v/>
      </c>
      <c r="M1163" s="4">
        <f>PROPER(TRIM(Raw_Data!M1163))</f>
        <v/>
      </c>
      <c r="N1163" s="6">
        <f>ROUND(Raw_Data!N1163,2)</f>
        <v/>
      </c>
      <c r="O1163" s="7">
        <f>IF(COUNTIF($A$2:$A$1201,A1163)&gt;1,"DUPLICATE","Unique")</f>
        <v/>
      </c>
      <c r="P1163" s="7">
        <f>IF(COUNTIF($J$2:$J$1201,J1163)&gt;1,"DUPLICATE","Unique")</f>
        <v/>
      </c>
      <c r="Q1163" s="4">
        <f>IF(TRIM(Raw_Data!L1163)="","Yes","No")</f>
        <v/>
      </c>
      <c r="R1163" s="4">
        <f>IF(ISNUMBER(B1163),"Valid","INVALID")</f>
        <v/>
      </c>
    </row>
    <row r="1164">
      <c r="A1164" s="4">
        <f>TRIM(Raw_Data!A1164)</f>
        <v/>
      </c>
      <c r="B1164" s="5">
        <f>Raw_Data!B1164</f>
        <v/>
      </c>
      <c r="C1164" s="4">
        <f>TRIM(Raw_Data!C1164)</f>
        <v/>
      </c>
      <c r="D1164" s="4">
        <f>PROPER(TRIM(Raw_Data!D1164))</f>
        <v/>
      </c>
      <c r="E1164" s="4">
        <f>Raw_Data!E1164</f>
        <v/>
      </c>
      <c r="F1164" s="6">
        <f>ROUND(Raw_Data!F1164,2)</f>
        <v/>
      </c>
      <c r="G1164" s="4">
        <f>PROPER(TRIM(Raw_Data!G1164))</f>
        <v/>
      </c>
      <c r="H1164" s="4">
        <f>PROPER(TRIM(Raw_Data!H1164))</f>
        <v/>
      </c>
      <c r="I1164" s="4">
        <f>PROPER(TRIM(Raw_Data!I1164))</f>
        <v/>
      </c>
      <c r="J1164" s="4">
        <f>TRIM(Raw_Data!J1164)</f>
        <v/>
      </c>
      <c r="K1164" s="4">
        <f>Raw_Data!K1164</f>
        <v/>
      </c>
      <c r="L1164" s="4">
        <f>IF(TRIM(Raw_Data!L1164)="","No Coupon",TRIM(Raw_Data!L1164))</f>
        <v/>
      </c>
      <c r="M1164" s="4">
        <f>PROPER(TRIM(Raw_Data!M1164))</f>
        <v/>
      </c>
      <c r="N1164" s="6">
        <f>ROUND(Raw_Data!N1164,2)</f>
        <v/>
      </c>
      <c r="O1164" s="7">
        <f>IF(COUNTIF($A$2:$A$1201,A1164)&gt;1,"DUPLICATE","Unique")</f>
        <v/>
      </c>
      <c r="P1164" s="7">
        <f>IF(COUNTIF($J$2:$J$1201,J1164)&gt;1,"DUPLICATE","Unique")</f>
        <v/>
      </c>
      <c r="Q1164" s="4">
        <f>IF(TRIM(Raw_Data!L1164)="","Yes","No")</f>
        <v/>
      </c>
      <c r="R1164" s="4">
        <f>IF(ISNUMBER(B1164),"Valid","INVALID")</f>
        <v/>
      </c>
    </row>
    <row r="1165">
      <c r="A1165" s="4">
        <f>TRIM(Raw_Data!A1165)</f>
        <v/>
      </c>
      <c r="B1165" s="5">
        <f>Raw_Data!B1165</f>
        <v/>
      </c>
      <c r="C1165" s="4">
        <f>TRIM(Raw_Data!C1165)</f>
        <v/>
      </c>
      <c r="D1165" s="4">
        <f>PROPER(TRIM(Raw_Data!D1165))</f>
        <v/>
      </c>
      <c r="E1165" s="4">
        <f>Raw_Data!E1165</f>
        <v/>
      </c>
      <c r="F1165" s="6">
        <f>ROUND(Raw_Data!F1165,2)</f>
        <v/>
      </c>
      <c r="G1165" s="4">
        <f>PROPER(TRIM(Raw_Data!G1165))</f>
        <v/>
      </c>
      <c r="H1165" s="4">
        <f>PROPER(TRIM(Raw_Data!H1165))</f>
        <v/>
      </c>
      <c r="I1165" s="4">
        <f>PROPER(TRIM(Raw_Data!I1165))</f>
        <v/>
      </c>
      <c r="J1165" s="4">
        <f>TRIM(Raw_Data!J1165)</f>
        <v/>
      </c>
      <c r="K1165" s="4">
        <f>Raw_Data!K1165</f>
        <v/>
      </c>
      <c r="L1165" s="4">
        <f>IF(TRIM(Raw_Data!L1165)="","No Coupon",TRIM(Raw_Data!L1165))</f>
        <v/>
      </c>
      <c r="M1165" s="4">
        <f>PROPER(TRIM(Raw_Data!M1165))</f>
        <v/>
      </c>
      <c r="N1165" s="6">
        <f>ROUND(Raw_Data!N1165,2)</f>
        <v/>
      </c>
      <c r="O1165" s="7">
        <f>IF(COUNTIF($A$2:$A$1201,A1165)&gt;1,"DUPLICATE","Unique")</f>
        <v/>
      </c>
      <c r="P1165" s="7">
        <f>IF(COUNTIF($J$2:$J$1201,J1165)&gt;1,"DUPLICATE","Unique")</f>
        <v/>
      </c>
      <c r="Q1165" s="4">
        <f>IF(TRIM(Raw_Data!L1165)="","Yes","No")</f>
        <v/>
      </c>
      <c r="R1165" s="4">
        <f>IF(ISNUMBER(B1165),"Valid","INVALID")</f>
        <v/>
      </c>
    </row>
    <row r="1166">
      <c r="A1166" s="4">
        <f>TRIM(Raw_Data!A1166)</f>
        <v/>
      </c>
      <c r="B1166" s="5">
        <f>Raw_Data!B1166</f>
        <v/>
      </c>
      <c r="C1166" s="4">
        <f>TRIM(Raw_Data!C1166)</f>
        <v/>
      </c>
      <c r="D1166" s="4">
        <f>PROPER(TRIM(Raw_Data!D1166))</f>
        <v/>
      </c>
      <c r="E1166" s="4">
        <f>Raw_Data!E1166</f>
        <v/>
      </c>
      <c r="F1166" s="6">
        <f>ROUND(Raw_Data!F1166,2)</f>
        <v/>
      </c>
      <c r="G1166" s="4">
        <f>PROPER(TRIM(Raw_Data!G1166))</f>
        <v/>
      </c>
      <c r="H1166" s="4">
        <f>PROPER(TRIM(Raw_Data!H1166))</f>
        <v/>
      </c>
      <c r="I1166" s="4">
        <f>PROPER(TRIM(Raw_Data!I1166))</f>
        <v/>
      </c>
      <c r="J1166" s="4">
        <f>TRIM(Raw_Data!J1166)</f>
        <v/>
      </c>
      <c r="K1166" s="4">
        <f>Raw_Data!K1166</f>
        <v/>
      </c>
      <c r="L1166" s="4">
        <f>IF(TRIM(Raw_Data!L1166)="","No Coupon",TRIM(Raw_Data!L1166))</f>
        <v/>
      </c>
      <c r="M1166" s="4">
        <f>PROPER(TRIM(Raw_Data!M1166))</f>
        <v/>
      </c>
      <c r="N1166" s="6">
        <f>ROUND(Raw_Data!N1166,2)</f>
        <v/>
      </c>
      <c r="O1166" s="7">
        <f>IF(COUNTIF($A$2:$A$1201,A1166)&gt;1,"DUPLICATE","Unique")</f>
        <v/>
      </c>
      <c r="P1166" s="7">
        <f>IF(COUNTIF($J$2:$J$1201,J1166)&gt;1,"DUPLICATE","Unique")</f>
        <v/>
      </c>
      <c r="Q1166" s="4">
        <f>IF(TRIM(Raw_Data!L1166)="","Yes","No")</f>
        <v/>
      </c>
      <c r="R1166" s="4">
        <f>IF(ISNUMBER(B1166),"Valid","INVALID")</f>
        <v/>
      </c>
    </row>
    <row r="1167">
      <c r="A1167" s="4">
        <f>TRIM(Raw_Data!A1167)</f>
        <v/>
      </c>
      <c r="B1167" s="5">
        <f>Raw_Data!B1167</f>
        <v/>
      </c>
      <c r="C1167" s="4">
        <f>TRIM(Raw_Data!C1167)</f>
        <v/>
      </c>
      <c r="D1167" s="4">
        <f>PROPER(TRIM(Raw_Data!D1167))</f>
        <v/>
      </c>
      <c r="E1167" s="4">
        <f>Raw_Data!E1167</f>
        <v/>
      </c>
      <c r="F1167" s="6">
        <f>ROUND(Raw_Data!F1167,2)</f>
        <v/>
      </c>
      <c r="G1167" s="4">
        <f>PROPER(TRIM(Raw_Data!G1167))</f>
        <v/>
      </c>
      <c r="H1167" s="4">
        <f>PROPER(TRIM(Raw_Data!H1167))</f>
        <v/>
      </c>
      <c r="I1167" s="4">
        <f>PROPER(TRIM(Raw_Data!I1167))</f>
        <v/>
      </c>
      <c r="J1167" s="4">
        <f>TRIM(Raw_Data!J1167)</f>
        <v/>
      </c>
      <c r="K1167" s="4">
        <f>Raw_Data!K1167</f>
        <v/>
      </c>
      <c r="L1167" s="4">
        <f>IF(TRIM(Raw_Data!L1167)="","No Coupon",TRIM(Raw_Data!L1167))</f>
        <v/>
      </c>
      <c r="M1167" s="4">
        <f>PROPER(TRIM(Raw_Data!M1167))</f>
        <v/>
      </c>
      <c r="N1167" s="6">
        <f>ROUND(Raw_Data!N1167,2)</f>
        <v/>
      </c>
      <c r="O1167" s="7">
        <f>IF(COUNTIF($A$2:$A$1201,A1167)&gt;1,"DUPLICATE","Unique")</f>
        <v/>
      </c>
      <c r="P1167" s="7">
        <f>IF(COUNTIF($J$2:$J$1201,J1167)&gt;1,"DUPLICATE","Unique")</f>
        <v/>
      </c>
      <c r="Q1167" s="4">
        <f>IF(TRIM(Raw_Data!L1167)="","Yes","No")</f>
        <v/>
      </c>
      <c r="R1167" s="4">
        <f>IF(ISNUMBER(B1167),"Valid","INVALID")</f>
        <v/>
      </c>
    </row>
    <row r="1168">
      <c r="A1168" s="4">
        <f>TRIM(Raw_Data!A1168)</f>
        <v/>
      </c>
      <c r="B1168" s="5">
        <f>Raw_Data!B1168</f>
        <v/>
      </c>
      <c r="C1168" s="4">
        <f>TRIM(Raw_Data!C1168)</f>
        <v/>
      </c>
      <c r="D1168" s="4">
        <f>PROPER(TRIM(Raw_Data!D1168))</f>
        <v/>
      </c>
      <c r="E1168" s="4">
        <f>Raw_Data!E1168</f>
        <v/>
      </c>
      <c r="F1168" s="6">
        <f>ROUND(Raw_Data!F1168,2)</f>
        <v/>
      </c>
      <c r="G1168" s="4">
        <f>PROPER(TRIM(Raw_Data!G1168))</f>
        <v/>
      </c>
      <c r="H1168" s="4">
        <f>PROPER(TRIM(Raw_Data!H1168))</f>
        <v/>
      </c>
      <c r="I1168" s="4">
        <f>PROPER(TRIM(Raw_Data!I1168))</f>
        <v/>
      </c>
      <c r="J1168" s="4">
        <f>TRIM(Raw_Data!J1168)</f>
        <v/>
      </c>
      <c r="K1168" s="4">
        <f>Raw_Data!K1168</f>
        <v/>
      </c>
      <c r="L1168" s="4">
        <f>IF(TRIM(Raw_Data!L1168)="","No Coupon",TRIM(Raw_Data!L1168))</f>
        <v/>
      </c>
      <c r="M1168" s="4">
        <f>PROPER(TRIM(Raw_Data!M1168))</f>
        <v/>
      </c>
      <c r="N1168" s="6">
        <f>ROUND(Raw_Data!N1168,2)</f>
        <v/>
      </c>
      <c r="O1168" s="7">
        <f>IF(COUNTIF($A$2:$A$1201,A1168)&gt;1,"DUPLICATE","Unique")</f>
        <v/>
      </c>
      <c r="P1168" s="7">
        <f>IF(COUNTIF($J$2:$J$1201,J1168)&gt;1,"DUPLICATE","Unique")</f>
        <v/>
      </c>
      <c r="Q1168" s="4">
        <f>IF(TRIM(Raw_Data!L1168)="","Yes","No")</f>
        <v/>
      </c>
      <c r="R1168" s="4">
        <f>IF(ISNUMBER(B1168),"Valid","INVALID")</f>
        <v/>
      </c>
    </row>
    <row r="1169">
      <c r="A1169" s="4">
        <f>TRIM(Raw_Data!A1169)</f>
        <v/>
      </c>
      <c r="B1169" s="5">
        <f>Raw_Data!B1169</f>
        <v/>
      </c>
      <c r="C1169" s="4">
        <f>TRIM(Raw_Data!C1169)</f>
        <v/>
      </c>
      <c r="D1169" s="4">
        <f>PROPER(TRIM(Raw_Data!D1169))</f>
        <v/>
      </c>
      <c r="E1169" s="4">
        <f>Raw_Data!E1169</f>
        <v/>
      </c>
      <c r="F1169" s="6">
        <f>ROUND(Raw_Data!F1169,2)</f>
        <v/>
      </c>
      <c r="G1169" s="4">
        <f>PROPER(TRIM(Raw_Data!G1169))</f>
        <v/>
      </c>
      <c r="H1169" s="4">
        <f>PROPER(TRIM(Raw_Data!H1169))</f>
        <v/>
      </c>
      <c r="I1169" s="4">
        <f>PROPER(TRIM(Raw_Data!I1169))</f>
        <v/>
      </c>
      <c r="J1169" s="4">
        <f>TRIM(Raw_Data!J1169)</f>
        <v/>
      </c>
      <c r="K1169" s="4">
        <f>Raw_Data!K1169</f>
        <v/>
      </c>
      <c r="L1169" s="4">
        <f>IF(TRIM(Raw_Data!L1169)="","No Coupon",TRIM(Raw_Data!L1169))</f>
        <v/>
      </c>
      <c r="M1169" s="4">
        <f>PROPER(TRIM(Raw_Data!M1169))</f>
        <v/>
      </c>
      <c r="N1169" s="6">
        <f>ROUND(Raw_Data!N1169,2)</f>
        <v/>
      </c>
      <c r="O1169" s="7">
        <f>IF(COUNTIF($A$2:$A$1201,A1169)&gt;1,"DUPLICATE","Unique")</f>
        <v/>
      </c>
      <c r="P1169" s="7">
        <f>IF(COUNTIF($J$2:$J$1201,J1169)&gt;1,"DUPLICATE","Unique")</f>
        <v/>
      </c>
      <c r="Q1169" s="4">
        <f>IF(TRIM(Raw_Data!L1169)="","Yes","No")</f>
        <v/>
      </c>
      <c r="R1169" s="4">
        <f>IF(ISNUMBER(B1169),"Valid","INVALID")</f>
        <v/>
      </c>
    </row>
    <row r="1170">
      <c r="A1170" s="4">
        <f>TRIM(Raw_Data!A1170)</f>
        <v/>
      </c>
      <c r="B1170" s="5">
        <f>Raw_Data!B1170</f>
        <v/>
      </c>
      <c r="C1170" s="4">
        <f>TRIM(Raw_Data!C1170)</f>
        <v/>
      </c>
      <c r="D1170" s="4">
        <f>PROPER(TRIM(Raw_Data!D1170))</f>
        <v/>
      </c>
      <c r="E1170" s="4">
        <f>Raw_Data!E1170</f>
        <v/>
      </c>
      <c r="F1170" s="6">
        <f>ROUND(Raw_Data!F1170,2)</f>
        <v/>
      </c>
      <c r="G1170" s="4">
        <f>PROPER(TRIM(Raw_Data!G1170))</f>
        <v/>
      </c>
      <c r="H1170" s="4">
        <f>PROPER(TRIM(Raw_Data!H1170))</f>
        <v/>
      </c>
      <c r="I1170" s="4">
        <f>PROPER(TRIM(Raw_Data!I1170))</f>
        <v/>
      </c>
      <c r="J1170" s="4">
        <f>TRIM(Raw_Data!J1170)</f>
        <v/>
      </c>
      <c r="K1170" s="4">
        <f>Raw_Data!K1170</f>
        <v/>
      </c>
      <c r="L1170" s="4">
        <f>IF(TRIM(Raw_Data!L1170)="","No Coupon",TRIM(Raw_Data!L1170))</f>
        <v/>
      </c>
      <c r="M1170" s="4">
        <f>PROPER(TRIM(Raw_Data!M1170))</f>
        <v/>
      </c>
      <c r="N1170" s="6">
        <f>ROUND(Raw_Data!N1170,2)</f>
        <v/>
      </c>
      <c r="O1170" s="7">
        <f>IF(COUNTIF($A$2:$A$1201,A1170)&gt;1,"DUPLICATE","Unique")</f>
        <v/>
      </c>
      <c r="P1170" s="7">
        <f>IF(COUNTIF($J$2:$J$1201,J1170)&gt;1,"DUPLICATE","Unique")</f>
        <v/>
      </c>
      <c r="Q1170" s="4">
        <f>IF(TRIM(Raw_Data!L1170)="","Yes","No")</f>
        <v/>
      </c>
      <c r="R1170" s="4">
        <f>IF(ISNUMBER(B1170),"Valid","INVALID")</f>
        <v/>
      </c>
    </row>
    <row r="1171">
      <c r="A1171" s="4">
        <f>TRIM(Raw_Data!A1171)</f>
        <v/>
      </c>
      <c r="B1171" s="5">
        <f>Raw_Data!B1171</f>
        <v/>
      </c>
      <c r="C1171" s="4">
        <f>TRIM(Raw_Data!C1171)</f>
        <v/>
      </c>
      <c r="D1171" s="4">
        <f>PROPER(TRIM(Raw_Data!D1171))</f>
        <v/>
      </c>
      <c r="E1171" s="4">
        <f>Raw_Data!E1171</f>
        <v/>
      </c>
      <c r="F1171" s="6">
        <f>ROUND(Raw_Data!F1171,2)</f>
        <v/>
      </c>
      <c r="G1171" s="4">
        <f>PROPER(TRIM(Raw_Data!G1171))</f>
        <v/>
      </c>
      <c r="H1171" s="4">
        <f>PROPER(TRIM(Raw_Data!H1171))</f>
        <v/>
      </c>
      <c r="I1171" s="4">
        <f>PROPER(TRIM(Raw_Data!I1171))</f>
        <v/>
      </c>
      <c r="J1171" s="4">
        <f>TRIM(Raw_Data!J1171)</f>
        <v/>
      </c>
      <c r="K1171" s="4">
        <f>Raw_Data!K1171</f>
        <v/>
      </c>
      <c r="L1171" s="4">
        <f>IF(TRIM(Raw_Data!L1171)="","No Coupon",TRIM(Raw_Data!L1171))</f>
        <v/>
      </c>
      <c r="M1171" s="4">
        <f>PROPER(TRIM(Raw_Data!M1171))</f>
        <v/>
      </c>
      <c r="N1171" s="6">
        <f>ROUND(Raw_Data!N1171,2)</f>
        <v/>
      </c>
      <c r="O1171" s="7">
        <f>IF(COUNTIF($A$2:$A$1201,A1171)&gt;1,"DUPLICATE","Unique")</f>
        <v/>
      </c>
      <c r="P1171" s="7">
        <f>IF(COUNTIF($J$2:$J$1201,J1171)&gt;1,"DUPLICATE","Unique")</f>
        <v/>
      </c>
      <c r="Q1171" s="4">
        <f>IF(TRIM(Raw_Data!L1171)="","Yes","No")</f>
        <v/>
      </c>
      <c r="R1171" s="4">
        <f>IF(ISNUMBER(B1171),"Valid","INVALID")</f>
        <v/>
      </c>
    </row>
    <row r="1172">
      <c r="A1172" s="4">
        <f>TRIM(Raw_Data!A1172)</f>
        <v/>
      </c>
      <c r="B1172" s="5">
        <f>Raw_Data!B1172</f>
        <v/>
      </c>
      <c r="C1172" s="4">
        <f>TRIM(Raw_Data!C1172)</f>
        <v/>
      </c>
      <c r="D1172" s="4">
        <f>PROPER(TRIM(Raw_Data!D1172))</f>
        <v/>
      </c>
      <c r="E1172" s="4">
        <f>Raw_Data!E1172</f>
        <v/>
      </c>
      <c r="F1172" s="6">
        <f>ROUND(Raw_Data!F1172,2)</f>
        <v/>
      </c>
      <c r="G1172" s="4">
        <f>PROPER(TRIM(Raw_Data!G1172))</f>
        <v/>
      </c>
      <c r="H1172" s="4">
        <f>PROPER(TRIM(Raw_Data!H1172))</f>
        <v/>
      </c>
      <c r="I1172" s="4">
        <f>PROPER(TRIM(Raw_Data!I1172))</f>
        <v/>
      </c>
      <c r="J1172" s="4">
        <f>TRIM(Raw_Data!J1172)</f>
        <v/>
      </c>
      <c r="K1172" s="4">
        <f>Raw_Data!K1172</f>
        <v/>
      </c>
      <c r="L1172" s="4">
        <f>IF(TRIM(Raw_Data!L1172)="","No Coupon",TRIM(Raw_Data!L1172))</f>
        <v/>
      </c>
      <c r="M1172" s="4">
        <f>PROPER(TRIM(Raw_Data!M1172))</f>
        <v/>
      </c>
      <c r="N1172" s="6">
        <f>ROUND(Raw_Data!N1172,2)</f>
        <v/>
      </c>
      <c r="O1172" s="7">
        <f>IF(COUNTIF($A$2:$A$1201,A1172)&gt;1,"DUPLICATE","Unique")</f>
        <v/>
      </c>
      <c r="P1172" s="7">
        <f>IF(COUNTIF($J$2:$J$1201,J1172)&gt;1,"DUPLICATE","Unique")</f>
        <v/>
      </c>
      <c r="Q1172" s="4">
        <f>IF(TRIM(Raw_Data!L1172)="","Yes","No")</f>
        <v/>
      </c>
      <c r="R1172" s="4">
        <f>IF(ISNUMBER(B1172),"Valid","INVALID")</f>
        <v/>
      </c>
    </row>
    <row r="1173">
      <c r="A1173" s="4">
        <f>TRIM(Raw_Data!A1173)</f>
        <v/>
      </c>
      <c r="B1173" s="5">
        <f>Raw_Data!B1173</f>
        <v/>
      </c>
      <c r="C1173" s="4">
        <f>TRIM(Raw_Data!C1173)</f>
        <v/>
      </c>
      <c r="D1173" s="4">
        <f>PROPER(TRIM(Raw_Data!D1173))</f>
        <v/>
      </c>
      <c r="E1173" s="4">
        <f>Raw_Data!E1173</f>
        <v/>
      </c>
      <c r="F1173" s="6">
        <f>ROUND(Raw_Data!F1173,2)</f>
        <v/>
      </c>
      <c r="G1173" s="4">
        <f>PROPER(TRIM(Raw_Data!G1173))</f>
        <v/>
      </c>
      <c r="H1173" s="4">
        <f>PROPER(TRIM(Raw_Data!H1173))</f>
        <v/>
      </c>
      <c r="I1173" s="4">
        <f>PROPER(TRIM(Raw_Data!I1173))</f>
        <v/>
      </c>
      <c r="J1173" s="4">
        <f>TRIM(Raw_Data!J1173)</f>
        <v/>
      </c>
      <c r="K1173" s="4">
        <f>Raw_Data!K1173</f>
        <v/>
      </c>
      <c r="L1173" s="4">
        <f>IF(TRIM(Raw_Data!L1173)="","No Coupon",TRIM(Raw_Data!L1173))</f>
        <v/>
      </c>
      <c r="M1173" s="4">
        <f>PROPER(TRIM(Raw_Data!M1173))</f>
        <v/>
      </c>
      <c r="N1173" s="6">
        <f>ROUND(Raw_Data!N1173,2)</f>
        <v/>
      </c>
      <c r="O1173" s="7">
        <f>IF(COUNTIF($A$2:$A$1201,A1173)&gt;1,"DUPLICATE","Unique")</f>
        <v/>
      </c>
      <c r="P1173" s="7">
        <f>IF(COUNTIF($J$2:$J$1201,J1173)&gt;1,"DUPLICATE","Unique")</f>
        <v/>
      </c>
      <c r="Q1173" s="4">
        <f>IF(TRIM(Raw_Data!L1173)="","Yes","No")</f>
        <v/>
      </c>
      <c r="R1173" s="4">
        <f>IF(ISNUMBER(B1173),"Valid","INVALID")</f>
        <v/>
      </c>
    </row>
    <row r="1174">
      <c r="A1174" s="4">
        <f>TRIM(Raw_Data!A1174)</f>
        <v/>
      </c>
      <c r="B1174" s="5">
        <f>Raw_Data!B1174</f>
        <v/>
      </c>
      <c r="C1174" s="4">
        <f>TRIM(Raw_Data!C1174)</f>
        <v/>
      </c>
      <c r="D1174" s="4">
        <f>PROPER(TRIM(Raw_Data!D1174))</f>
        <v/>
      </c>
      <c r="E1174" s="4">
        <f>Raw_Data!E1174</f>
        <v/>
      </c>
      <c r="F1174" s="6">
        <f>ROUND(Raw_Data!F1174,2)</f>
        <v/>
      </c>
      <c r="G1174" s="4">
        <f>PROPER(TRIM(Raw_Data!G1174))</f>
        <v/>
      </c>
      <c r="H1174" s="4">
        <f>PROPER(TRIM(Raw_Data!H1174))</f>
        <v/>
      </c>
      <c r="I1174" s="4">
        <f>PROPER(TRIM(Raw_Data!I1174))</f>
        <v/>
      </c>
      <c r="J1174" s="4">
        <f>TRIM(Raw_Data!J1174)</f>
        <v/>
      </c>
      <c r="K1174" s="4">
        <f>Raw_Data!K1174</f>
        <v/>
      </c>
      <c r="L1174" s="4">
        <f>IF(TRIM(Raw_Data!L1174)="","No Coupon",TRIM(Raw_Data!L1174))</f>
        <v/>
      </c>
      <c r="M1174" s="4">
        <f>PROPER(TRIM(Raw_Data!M1174))</f>
        <v/>
      </c>
      <c r="N1174" s="6">
        <f>ROUND(Raw_Data!N1174,2)</f>
        <v/>
      </c>
      <c r="O1174" s="7">
        <f>IF(COUNTIF($A$2:$A$1201,A1174)&gt;1,"DUPLICATE","Unique")</f>
        <v/>
      </c>
      <c r="P1174" s="7">
        <f>IF(COUNTIF($J$2:$J$1201,J1174)&gt;1,"DUPLICATE","Unique")</f>
        <v/>
      </c>
      <c r="Q1174" s="4">
        <f>IF(TRIM(Raw_Data!L1174)="","Yes","No")</f>
        <v/>
      </c>
      <c r="R1174" s="4">
        <f>IF(ISNUMBER(B1174),"Valid","INVALID")</f>
        <v/>
      </c>
    </row>
    <row r="1175">
      <c r="A1175" s="4">
        <f>TRIM(Raw_Data!A1175)</f>
        <v/>
      </c>
      <c r="B1175" s="5">
        <f>Raw_Data!B1175</f>
        <v/>
      </c>
      <c r="C1175" s="4">
        <f>TRIM(Raw_Data!C1175)</f>
        <v/>
      </c>
      <c r="D1175" s="4">
        <f>PROPER(TRIM(Raw_Data!D1175))</f>
        <v/>
      </c>
      <c r="E1175" s="4">
        <f>Raw_Data!E1175</f>
        <v/>
      </c>
      <c r="F1175" s="6">
        <f>ROUND(Raw_Data!F1175,2)</f>
        <v/>
      </c>
      <c r="G1175" s="4">
        <f>PROPER(TRIM(Raw_Data!G1175))</f>
        <v/>
      </c>
      <c r="H1175" s="4">
        <f>PROPER(TRIM(Raw_Data!H1175))</f>
        <v/>
      </c>
      <c r="I1175" s="4">
        <f>PROPER(TRIM(Raw_Data!I1175))</f>
        <v/>
      </c>
      <c r="J1175" s="4">
        <f>TRIM(Raw_Data!J1175)</f>
        <v/>
      </c>
      <c r="K1175" s="4">
        <f>Raw_Data!K1175</f>
        <v/>
      </c>
      <c r="L1175" s="4">
        <f>IF(TRIM(Raw_Data!L1175)="","No Coupon",TRIM(Raw_Data!L1175))</f>
        <v/>
      </c>
      <c r="M1175" s="4">
        <f>PROPER(TRIM(Raw_Data!M1175))</f>
        <v/>
      </c>
      <c r="N1175" s="6">
        <f>ROUND(Raw_Data!N1175,2)</f>
        <v/>
      </c>
      <c r="O1175" s="7">
        <f>IF(COUNTIF($A$2:$A$1201,A1175)&gt;1,"DUPLICATE","Unique")</f>
        <v/>
      </c>
      <c r="P1175" s="7">
        <f>IF(COUNTIF($J$2:$J$1201,J1175)&gt;1,"DUPLICATE","Unique")</f>
        <v/>
      </c>
      <c r="Q1175" s="4">
        <f>IF(TRIM(Raw_Data!L1175)="","Yes","No")</f>
        <v/>
      </c>
      <c r="R1175" s="4">
        <f>IF(ISNUMBER(B1175),"Valid","INVALID")</f>
        <v/>
      </c>
    </row>
    <row r="1176">
      <c r="A1176" s="4">
        <f>TRIM(Raw_Data!A1176)</f>
        <v/>
      </c>
      <c r="B1176" s="5">
        <f>Raw_Data!B1176</f>
        <v/>
      </c>
      <c r="C1176" s="4">
        <f>TRIM(Raw_Data!C1176)</f>
        <v/>
      </c>
      <c r="D1176" s="4">
        <f>PROPER(TRIM(Raw_Data!D1176))</f>
        <v/>
      </c>
      <c r="E1176" s="4">
        <f>Raw_Data!E1176</f>
        <v/>
      </c>
      <c r="F1176" s="6">
        <f>ROUND(Raw_Data!F1176,2)</f>
        <v/>
      </c>
      <c r="G1176" s="4">
        <f>PROPER(TRIM(Raw_Data!G1176))</f>
        <v/>
      </c>
      <c r="H1176" s="4">
        <f>PROPER(TRIM(Raw_Data!H1176))</f>
        <v/>
      </c>
      <c r="I1176" s="4">
        <f>PROPER(TRIM(Raw_Data!I1176))</f>
        <v/>
      </c>
      <c r="J1176" s="4">
        <f>TRIM(Raw_Data!J1176)</f>
        <v/>
      </c>
      <c r="K1176" s="4">
        <f>Raw_Data!K1176</f>
        <v/>
      </c>
      <c r="L1176" s="4">
        <f>IF(TRIM(Raw_Data!L1176)="","No Coupon",TRIM(Raw_Data!L1176))</f>
        <v/>
      </c>
      <c r="M1176" s="4">
        <f>PROPER(TRIM(Raw_Data!M1176))</f>
        <v/>
      </c>
      <c r="N1176" s="6">
        <f>ROUND(Raw_Data!N1176,2)</f>
        <v/>
      </c>
      <c r="O1176" s="7">
        <f>IF(COUNTIF($A$2:$A$1201,A1176)&gt;1,"DUPLICATE","Unique")</f>
        <v/>
      </c>
      <c r="P1176" s="7">
        <f>IF(COUNTIF($J$2:$J$1201,J1176)&gt;1,"DUPLICATE","Unique")</f>
        <v/>
      </c>
      <c r="Q1176" s="4">
        <f>IF(TRIM(Raw_Data!L1176)="","Yes","No")</f>
        <v/>
      </c>
      <c r="R1176" s="4">
        <f>IF(ISNUMBER(B1176),"Valid","INVALID")</f>
        <v/>
      </c>
    </row>
    <row r="1177">
      <c r="A1177" s="4">
        <f>TRIM(Raw_Data!A1177)</f>
        <v/>
      </c>
      <c r="B1177" s="5">
        <f>Raw_Data!B1177</f>
        <v/>
      </c>
      <c r="C1177" s="4">
        <f>TRIM(Raw_Data!C1177)</f>
        <v/>
      </c>
      <c r="D1177" s="4">
        <f>PROPER(TRIM(Raw_Data!D1177))</f>
        <v/>
      </c>
      <c r="E1177" s="4">
        <f>Raw_Data!E1177</f>
        <v/>
      </c>
      <c r="F1177" s="6">
        <f>ROUND(Raw_Data!F1177,2)</f>
        <v/>
      </c>
      <c r="G1177" s="4">
        <f>PROPER(TRIM(Raw_Data!G1177))</f>
        <v/>
      </c>
      <c r="H1177" s="4">
        <f>PROPER(TRIM(Raw_Data!H1177))</f>
        <v/>
      </c>
      <c r="I1177" s="4">
        <f>PROPER(TRIM(Raw_Data!I1177))</f>
        <v/>
      </c>
      <c r="J1177" s="4">
        <f>TRIM(Raw_Data!J1177)</f>
        <v/>
      </c>
      <c r="K1177" s="4">
        <f>Raw_Data!K1177</f>
        <v/>
      </c>
      <c r="L1177" s="4">
        <f>IF(TRIM(Raw_Data!L1177)="","No Coupon",TRIM(Raw_Data!L1177))</f>
        <v/>
      </c>
      <c r="M1177" s="4">
        <f>PROPER(TRIM(Raw_Data!M1177))</f>
        <v/>
      </c>
      <c r="N1177" s="6">
        <f>ROUND(Raw_Data!N1177,2)</f>
        <v/>
      </c>
      <c r="O1177" s="7">
        <f>IF(COUNTIF($A$2:$A$1201,A1177)&gt;1,"DUPLICATE","Unique")</f>
        <v/>
      </c>
      <c r="P1177" s="7">
        <f>IF(COUNTIF($J$2:$J$1201,J1177)&gt;1,"DUPLICATE","Unique")</f>
        <v/>
      </c>
      <c r="Q1177" s="4">
        <f>IF(TRIM(Raw_Data!L1177)="","Yes","No")</f>
        <v/>
      </c>
      <c r="R1177" s="4">
        <f>IF(ISNUMBER(B1177),"Valid","INVALID")</f>
        <v/>
      </c>
    </row>
    <row r="1178">
      <c r="A1178" s="4">
        <f>TRIM(Raw_Data!A1178)</f>
        <v/>
      </c>
      <c r="B1178" s="5">
        <f>Raw_Data!B1178</f>
        <v/>
      </c>
      <c r="C1178" s="4">
        <f>TRIM(Raw_Data!C1178)</f>
        <v/>
      </c>
      <c r="D1178" s="4">
        <f>PROPER(TRIM(Raw_Data!D1178))</f>
        <v/>
      </c>
      <c r="E1178" s="4">
        <f>Raw_Data!E1178</f>
        <v/>
      </c>
      <c r="F1178" s="6">
        <f>ROUND(Raw_Data!F1178,2)</f>
        <v/>
      </c>
      <c r="G1178" s="4">
        <f>PROPER(TRIM(Raw_Data!G1178))</f>
        <v/>
      </c>
      <c r="H1178" s="4">
        <f>PROPER(TRIM(Raw_Data!H1178))</f>
        <v/>
      </c>
      <c r="I1178" s="4">
        <f>PROPER(TRIM(Raw_Data!I1178))</f>
        <v/>
      </c>
      <c r="J1178" s="4">
        <f>TRIM(Raw_Data!J1178)</f>
        <v/>
      </c>
      <c r="K1178" s="4">
        <f>Raw_Data!K1178</f>
        <v/>
      </c>
      <c r="L1178" s="4">
        <f>IF(TRIM(Raw_Data!L1178)="","No Coupon",TRIM(Raw_Data!L1178))</f>
        <v/>
      </c>
      <c r="M1178" s="4">
        <f>PROPER(TRIM(Raw_Data!M1178))</f>
        <v/>
      </c>
      <c r="N1178" s="6">
        <f>ROUND(Raw_Data!N1178,2)</f>
        <v/>
      </c>
      <c r="O1178" s="7">
        <f>IF(COUNTIF($A$2:$A$1201,A1178)&gt;1,"DUPLICATE","Unique")</f>
        <v/>
      </c>
      <c r="P1178" s="7">
        <f>IF(COUNTIF($J$2:$J$1201,J1178)&gt;1,"DUPLICATE","Unique")</f>
        <v/>
      </c>
      <c r="Q1178" s="4">
        <f>IF(TRIM(Raw_Data!L1178)="","Yes","No")</f>
        <v/>
      </c>
      <c r="R1178" s="4">
        <f>IF(ISNUMBER(B1178),"Valid","INVALID")</f>
        <v/>
      </c>
    </row>
    <row r="1179">
      <c r="A1179" s="4">
        <f>TRIM(Raw_Data!A1179)</f>
        <v/>
      </c>
      <c r="B1179" s="5">
        <f>Raw_Data!B1179</f>
        <v/>
      </c>
      <c r="C1179" s="4">
        <f>TRIM(Raw_Data!C1179)</f>
        <v/>
      </c>
      <c r="D1179" s="4">
        <f>PROPER(TRIM(Raw_Data!D1179))</f>
        <v/>
      </c>
      <c r="E1179" s="4">
        <f>Raw_Data!E1179</f>
        <v/>
      </c>
      <c r="F1179" s="6">
        <f>ROUND(Raw_Data!F1179,2)</f>
        <v/>
      </c>
      <c r="G1179" s="4">
        <f>PROPER(TRIM(Raw_Data!G1179))</f>
        <v/>
      </c>
      <c r="H1179" s="4">
        <f>PROPER(TRIM(Raw_Data!H1179))</f>
        <v/>
      </c>
      <c r="I1179" s="4">
        <f>PROPER(TRIM(Raw_Data!I1179))</f>
        <v/>
      </c>
      <c r="J1179" s="4">
        <f>TRIM(Raw_Data!J1179)</f>
        <v/>
      </c>
      <c r="K1179" s="4">
        <f>Raw_Data!K1179</f>
        <v/>
      </c>
      <c r="L1179" s="4">
        <f>IF(TRIM(Raw_Data!L1179)="","No Coupon",TRIM(Raw_Data!L1179))</f>
        <v/>
      </c>
      <c r="M1179" s="4">
        <f>PROPER(TRIM(Raw_Data!M1179))</f>
        <v/>
      </c>
      <c r="N1179" s="6">
        <f>ROUND(Raw_Data!N1179,2)</f>
        <v/>
      </c>
      <c r="O1179" s="7">
        <f>IF(COUNTIF($A$2:$A$1201,A1179)&gt;1,"DUPLICATE","Unique")</f>
        <v/>
      </c>
      <c r="P1179" s="7">
        <f>IF(COUNTIF($J$2:$J$1201,J1179)&gt;1,"DUPLICATE","Unique")</f>
        <v/>
      </c>
      <c r="Q1179" s="4">
        <f>IF(TRIM(Raw_Data!L1179)="","Yes","No")</f>
        <v/>
      </c>
      <c r="R1179" s="4">
        <f>IF(ISNUMBER(B1179),"Valid","INVALID")</f>
        <v/>
      </c>
    </row>
    <row r="1180">
      <c r="A1180" s="4">
        <f>TRIM(Raw_Data!A1180)</f>
        <v/>
      </c>
      <c r="B1180" s="5">
        <f>Raw_Data!B1180</f>
        <v/>
      </c>
      <c r="C1180" s="4">
        <f>TRIM(Raw_Data!C1180)</f>
        <v/>
      </c>
      <c r="D1180" s="4">
        <f>PROPER(TRIM(Raw_Data!D1180))</f>
        <v/>
      </c>
      <c r="E1180" s="4">
        <f>Raw_Data!E1180</f>
        <v/>
      </c>
      <c r="F1180" s="6">
        <f>ROUND(Raw_Data!F1180,2)</f>
        <v/>
      </c>
      <c r="G1180" s="4">
        <f>PROPER(TRIM(Raw_Data!G1180))</f>
        <v/>
      </c>
      <c r="H1180" s="4">
        <f>PROPER(TRIM(Raw_Data!H1180))</f>
        <v/>
      </c>
      <c r="I1180" s="4">
        <f>PROPER(TRIM(Raw_Data!I1180))</f>
        <v/>
      </c>
      <c r="J1180" s="4">
        <f>TRIM(Raw_Data!J1180)</f>
        <v/>
      </c>
      <c r="K1180" s="4">
        <f>Raw_Data!K1180</f>
        <v/>
      </c>
      <c r="L1180" s="4">
        <f>IF(TRIM(Raw_Data!L1180)="","No Coupon",TRIM(Raw_Data!L1180))</f>
        <v/>
      </c>
      <c r="M1180" s="4">
        <f>PROPER(TRIM(Raw_Data!M1180))</f>
        <v/>
      </c>
      <c r="N1180" s="6">
        <f>ROUND(Raw_Data!N1180,2)</f>
        <v/>
      </c>
      <c r="O1180" s="7">
        <f>IF(COUNTIF($A$2:$A$1201,A1180)&gt;1,"DUPLICATE","Unique")</f>
        <v/>
      </c>
      <c r="P1180" s="7">
        <f>IF(COUNTIF($J$2:$J$1201,J1180)&gt;1,"DUPLICATE","Unique")</f>
        <v/>
      </c>
      <c r="Q1180" s="4">
        <f>IF(TRIM(Raw_Data!L1180)="","Yes","No")</f>
        <v/>
      </c>
      <c r="R1180" s="4">
        <f>IF(ISNUMBER(B1180),"Valid","INVALID")</f>
        <v/>
      </c>
    </row>
    <row r="1181">
      <c r="A1181" s="4">
        <f>TRIM(Raw_Data!A1181)</f>
        <v/>
      </c>
      <c r="B1181" s="5">
        <f>Raw_Data!B1181</f>
        <v/>
      </c>
      <c r="C1181" s="4">
        <f>TRIM(Raw_Data!C1181)</f>
        <v/>
      </c>
      <c r="D1181" s="4">
        <f>PROPER(TRIM(Raw_Data!D1181))</f>
        <v/>
      </c>
      <c r="E1181" s="4">
        <f>Raw_Data!E1181</f>
        <v/>
      </c>
      <c r="F1181" s="6">
        <f>ROUND(Raw_Data!F1181,2)</f>
        <v/>
      </c>
      <c r="G1181" s="4">
        <f>PROPER(TRIM(Raw_Data!G1181))</f>
        <v/>
      </c>
      <c r="H1181" s="4">
        <f>PROPER(TRIM(Raw_Data!H1181))</f>
        <v/>
      </c>
      <c r="I1181" s="4">
        <f>PROPER(TRIM(Raw_Data!I1181))</f>
        <v/>
      </c>
      <c r="J1181" s="4">
        <f>TRIM(Raw_Data!J1181)</f>
        <v/>
      </c>
      <c r="K1181" s="4">
        <f>Raw_Data!K1181</f>
        <v/>
      </c>
      <c r="L1181" s="4">
        <f>IF(TRIM(Raw_Data!L1181)="","No Coupon",TRIM(Raw_Data!L1181))</f>
        <v/>
      </c>
      <c r="M1181" s="4">
        <f>PROPER(TRIM(Raw_Data!M1181))</f>
        <v/>
      </c>
      <c r="N1181" s="6">
        <f>ROUND(Raw_Data!N1181,2)</f>
        <v/>
      </c>
      <c r="O1181" s="7">
        <f>IF(COUNTIF($A$2:$A$1201,A1181)&gt;1,"DUPLICATE","Unique")</f>
        <v/>
      </c>
      <c r="P1181" s="7">
        <f>IF(COUNTIF($J$2:$J$1201,J1181)&gt;1,"DUPLICATE","Unique")</f>
        <v/>
      </c>
      <c r="Q1181" s="4">
        <f>IF(TRIM(Raw_Data!L1181)="","Yes","No")</f>
        <v/>
      </c>
      <c r="R1181" s="4">
        <f>IF(ISNUMBER(B1181),"Valid","INVALID")</f>
        <v/>
      </c>
    </row>
    <row r="1182">
      <c r="A1182" s="4">
        <f>TRIM(Raw_Data!A1182)</f>
        <v/>
      </c>
      <c r="B1182" s="5">
        <f>Raw_Data!B1182</f>
        <v/>
      </c>
      <c r="C1182" s="4">
        <f>TRIM(Raw_Data!C1182)</f>
        <v/>
      </c>
      <c r="D1182" s="4">
        <f>PROPER(TRIM(Raw_Data!D1182))</f>
        <v/>
      </c>
      <c r="E1182" s="4">
        <f>Raw_Data!E1182</f>
        <v/>
      </c>
      <c r="F1182" s="6">
        <f>ROUND(Raw_Data!F1182,2)</f>
        <v/>
      </c>
      <c r="G1182" s="4">
        <f>PROPER(TRIM(Raw_Data!G1182))</f>
        <v/>
      </c>
      <c r="H1182" s="4">
        <f>PROPER(TRIM(Raw_Data!H1182))</f>
        <v/>
      </c>
      <c r="I1182" s="4">
        <f>PROPER(TRIM(Raw_Data!I1182))</f>
        <v/>
      </c>
      <c r="J1182" s="4">
        <f>TRIM(Raw_Data!J1182)</f>
        <v/>
      </c>
      <c r="K1182" s="4">
        <f>Raw_Data!K1182</f>
        <v/>
      </c>
      <c r="L1182" s="4">
        <f>IF(TRIM(Raw_Data!L1182)="","No Coupon",TRIM(Raw_Data!L1182))</f>
        <v/>
      </c>
      <c r="M1182" s="4">
        <f>PROPER(TRIM(Raw_Data!M1182))</f>
        <v/>
      </c>
      <c r="N1182" s="6">
        <f>ROUND(Raw_Data!N1182,2)</f>
        <v/>
      </c>
      <c r="O1182" s="7">
        <f>IF(COUNTIF($A$2:$A$1201,A1182)&gt;1,"DUPLICATE","Unique")</f>
        <v/>
      </c>
      <c r="P1182" s="7">
        <f>IF(COUNTIF($J$2:$J$1201,J1182)&gt;1,"DUPLICATE","Unique")</f>
        <v/>
      </c>
      <c r="Q1182" s="4">
        <f>IF(TRIM(Raw_Data!L1182)="","Yes","No")</f>
        <v/>
      </c>
      <c r="R1182" s="4">
        <f>IF(ISNUMBER(B1182),"Valid","INVALID")</f>
        <v/>
      </c>
    </row>
    <row r="1183">
      <c r="A1183" s="4">
        <f>TRIM(Raw_Data!A1183)</f>
        <v/>
      </c>
      <c r="B1183" s="5">
        <f>Raw_Data!B1183</f>
        <v/>
      </c>
      <c r="C1183" s="4">
        <f>TRIM(Raw_Data!C1183)</f>
        <v/>
      </c>
      <c r="D1183" s="4">
        <f>PROPER(TRIM(Raw_Data!D1183))</f>
        <v/>
      </c>
      <c r="E1183" s="4">
        <f>Raw_Data!E1183</f>
        <v/>
      </c>
      <c r="F1183" s="6">
        <f>ROUND(Raw_Data!F1183,2)</f>
        <v/>
      </c>
      <c r="G1183" s="4">
        <f>PROPER(TRIM(Raw_Data!G1183))</f>
        <v/>
      </c>
      <c r="H1183" s="4">
        <f>PROPER(TRIM(Raw_Data!H1183))</f>
        <v/>
      </c>
      <c r="I1183" s="4">
        <f>PROPER(TRIM(Raw_Data!I1183))</f>
        <v/>
      </c>
      <c r="J1183" s="4">
        <f>TRIM(Raw_Data!J1183)</f>
        <v/>
      </c>
      <c r="K1183" s="4">
        <f>Raw_Data!K1183</f>
        <v/>
      </c>
      <c r="L1183" s="4">
        <f>IF(TRIM(Raw_Data!L1183)="","No Coupon",TRIM(Raw_Data!L1183))</f>
        <v/>
      </c>
      <c r="M1183" s="4">
        <f>PROPER(TRIM(Raw_Data!M1183))</f>
        <v/>
      </c>
      <c r="N1183" s="6">
        <f>ROUND(Raw_Data!N1183,2)</f>
        <v/>
      </c>
      <c r="O1183" s="7">
        <f>IF(COUNTIF($A$2:$A$1201,A1183)&gt;1,"DUPLICATE","Unique")</f>
        <v/>
      </c>
      <c r="P1183" s="7">
        <f>IF(COUNTIF($J$2:$J$1201,J1183)&gt;1,"DUPLICATE","Unique")</f>
        <v/>
      </c>
      <c r="Q1183" s="4">
        <f>IF(TRIM(Raw_Data!L1183)="","Yes","No")</f>
        <v/>
      </c>
      <c r="R1183" s="4">
        <f>IF(ISNUMBER(B1183),"Valid","INVALID")</f>
        <v/>
      </c>
    </row>
    <row r="1184">
      <c r="A1184" s="4">
        <f>TRIM(Raw_Data!A1184)</f>
        <v/>
      </c>
      <c r="B1184" s="5">
        <f>Raw_Data!B1184</f>
        <v/>
      </c>
      <c r="C1184" s="4">
        <f>TRIM(Raw_Data!C1184)</f>
        <v/>
      </c>
      <c r="D1184" s="4">
        <f>PROPER(TRIM(Raw_Data!D1184))</f>
        <v/>
      </c>
      <c r="E1184" s="4">
        <f>Raw_Data!E1184</f>
        <v/>
      </c>
      <c r="F1184" s="6">
        <f>ROUND(Raw_Data!F1184,2)</f>
        <v/>
      </c>
      <c r="G1184" s="4">
        <f>PROPER(TRIM(Raw_Data!G1184))</f>
        <v/>
      </c>
      <c r="H1184" s="4">
        <f>PROPER(TRIM(Raw_Data!H1184))</f>
        <v/>
      </c>
      <c r="I1184" s="4">
        <f>PROPER(TRIM(Raw_Data!I1184))</f>
        <v/>
      </c>
      <c r="J1184" s="4">
        <f>TRIM(Raw_Data!J1184)</f>
        <v/>
      </c>
      <c r="K1184" s="4">
        <f>Raw_Data!K1184</f>
        <v/>
      </c>
      <c r="L1184" s="4">
        <f>IF(TRIM(Raw_Data!L1184)="","No Coupon",TRIM(Raw_Data!L1184))</f>
        <v/>
      </c>
      <c r="M1184" s="4">
        <f>PROPER(TRIM(Raw_Data!M1184))</f>
        <v/>
      </c>
      <c r="N1184" s="6">
        <f>ROUND(Raw_Data!N1184,2)</f>
        <v/>
      </c>
      <c r="O1184" s="7">
        <f>IF(COUNTIF($A$2:$A$1201,A1184)&gt;1,"DUPLICATE","Unique")</f>
        <v/>
      </c>
      <c r="P1184" s="7">
        <f>IF(COUNTIF($J$2:$J$1201,J1184)&gt;1,"DUPLICATE","Unique")</f>
        <v/>
      </c>
      <c r="Q1184" s="4">
        <f>IF(TRIM(Raw_Data!L1184)="","Yes","No")</f>
        <v/>
      </c>
      <c r="R1184" s="4">
        <f>IF(ISNUMBER(B1184),"Valid","INVALID")</f>
        <v/>
      </c>
    </row>
    <row r="1185">
      <c r="A1185" s="4">
        <f>TRIM(Raw_Data!A1185)</f>
        <v/>
      </c>
      <c r="B1185" s="5">
        <f>Raw_Data!B1185</f>
        <v/>
      </c>
      <c r="C1185" s="4">
        <f>TRIM(Raw_Data!C1185)</f>
        <v/>
      </c>
      <c r="D1185" s="4">
        <f>PROPER(TRIM(Raw_Data!D1185))</f>
        <v/>
      </c>
      <c r="E1185" s="4">
        <f>Raw_Data!E1185</f>
        <v/>
      </c>
      <c r="F1185" s="6">
        <f>ROUND(Raw_Data!F1185,2)</f>
        <v/>
      </c>
      <c r="G1185" s="4">
        <f>PROPER(TRIM(Raw_Data!G1185))</f>
        <v/>
      </c>
      <c r="H1185" s="4">
        <f>PROPER(TRIM(Raw_Data!H1185))</f>
        <v/>
      </c>
      <c r="I1185" s="4">
        <f>PROPER(TRIM(Raw_Data!I1185))</f>
        <v/>
      </c>
      <c r="J1185" s="4">
        <f>TRIM(Raw_Data!J1185)</f>
        <v/>
      </c>
      <c r="K1185" s="4">
        <f>Raw_Data!K1185</f>
        <v/>
      </c>
      <c r="L1185" s="4">
        <f>IF(TRIM(Raw_Data!L1185)="","No Coupon",TRIM(Raw_Data!L1185))</f>
        <v/>
      </c>
      <c r="M1185" s="4">
        <f>PROPER(TRIM(Raw_Data!M1185))</f>
        <v/>
      </c>
      <c r="N1185" s="6">
        <f>ROUND(Raw_Data!N1185,2)</f>
        <v/>
      </c>
      <c r="O1185" s="7">
        <f>IF(COUNTIF($A$2:$A$1201,A1185)&gt;1,"DUPLICATE","Unique")</f>
        <v/>
      </c>
      <c r="P1185" s="7">
        <f>IF(COUNTIF($J$2:$J$1201,J1185)&gt;1,"DUPLICATE","Unique")</f>
        <v/>
      </c>
      <c r="Q1185" s="4">
        <f>IF(TRIM(Raw_Data!L1185)="","Yes","No")</f>
        <v/>
      </c>
      <c r="R1185" s="4">
        <f>IF(ISNUMBER(B1185),"Valid","INVALID")</f>
        <v/>
      </c>
    </row>
    <row r="1186">
      <c r="A1186" s="4">
        <f>TRIM(Raw_Data!A1186)</f>
        <v/>
      </c>
      <c r="B1186" s="5">
        <f>Raw_Data!B1186</f>
        <v/>
      </c>
      <c r="C1186" s="4">
        <f>TRIM(Raw_Data!C1186)</f>
        <v/>
      </c>
      <c r="D1186" s="4">
        <f>PROPER(TRIM(Raw_Data!D1186))</f>
        <v/>
      </c>
      <c r="E1186" s="4">
        <f>Raw_Data!E1186</f>
        <v/>
      </c>
      <c r="F1186" s="6">
        <f>ROUND(Raw_Data!F1186,2)</f>
        <v/>
      </c>
      <c r="G1186" s="4">
        <f>PROPER(TRIM(Raw_Data!G1186))</f>
        <v/>
      </c>
      <c r="H1186" s="4">
        <f>PROPER(TRIM(Raw_Data!H1186))</f>
        <v/>
      </c>
      <c r="I1186" s="4">
        <f>PROPER(TRIM(Raw_Data!I1186))</f>
        <v/>
      </c>
      <c r="J1186" s="4">
        <f>TRIM(Raw_Data!J1186)</f>
        <v/>
      </c>
      <c r="K1186" s="4">
        <f>Raw_Data!K1186</f>
        <v/>
      </c>
      <c r="L1186" s="4">
        <f>IF(TRIM(Raw_Data!L1186)="","No Coupon",TRIM(Raw_Data!L1186))</f>
        <v/>
      </c>
      <c r="M1186" s="4">
        <f>PROPER(TRIM(Raw_Data!M1186))</f>
        <v/>
      </c>
      <c r="N1186" s="6">
        <f>ROUND(Raw_Data!N1186,2)</f>
        <v/>
      </c>
      <c r="O1186" s="7">
        <f>IF(COUNTIF($A$2:$A$1201,A1186)&gt;1,"DUPLICATE","Unique")</f>
        <v/>
      </c>
      <c r="P1186" s="7">
        <f>IF(COUNTIF($J$2:$J$1201,J1186)&gt;1,"DUPLICATE","Unique")</f>
        <v/>
      </c>
      <c r="Q1186" s="4">
        <f>IF(TRIM(Raw_Data!L1186)="","Yes","No")</f>
        <v/>
      </c>
      <c r="R1186" s="4">
        <f>IF(ISNUMBER(B1186),"Valid","INVALID")</f>
        <v/>
      </c>
    </row>
    <row r="1187">
      <c r="A1187" s="4">
        <f>TRIM(Raw_Data!A1187)</f>
        <v/>
      </c>
      <c r="B1187" s="5">
        <f>Raw_Data!B1187</f>
        <v/>
      </c>
      <c r="C1187" s="4">
        <f>TRIM(Raw_Data!C1187)</f>
        <v/>
      </c>
      <c r="D1187" s="4">
        <f>PROPER(TRIM(Raw_Data!D1187))</f>
        <v/>
      </c>
      <c r="E1187" s="4">
        <f>Raw_Data!E1187</f>
        <v/>
      </c>
      <c r="F1187" s="6">
        <f>ROUND(Raw_Data!F1187,2)</f>
        <v/>
      </c>
      <c r="G1187" s="4">
        <f>PROPER(TRIM(Raw_Data!G1187))</f>
        <v/>
      </c>
      <c r="H1187" s="4">
        <f>PROPER(TRIM(Raw_Data!H1187))</f>
        <v/>
      </c>
      <c r="I1187" s="4">
        <f>PROPER(TRIM(Raw_Data!I1187))</f>
        <v/>
      </c>
      <c r="J1187" s="4">
        <f>TRIM(Raw_Data!J1187)</f>
        <v/>
      </c>
      <c r="K1187" s="4">
        <f>Raw_Data!K1187</f>
        <v/>
      </c>
      <c r="L1187" s="4">
        <f>IF(TRIM(Raw_Data!L1187)="","No Coupon",TRIM(Raw_Data!L1187))</f>
        <v/>
      </c>
      <c r="M1187" s="4">
        <f>PROPER(TRIM(Raw_Data!M1187))</f>
        <v/>
      </c>
      <c r="N1187" s="6">
        <f>ROUND(Raw_Data!N1187,2)</f>
        <v/>
      </c>
      <c r="O1187" s="7">
        <f>IF(COUNTIF($A$2:$A$1201,A1187)&gt;1,"DUPLICATE","Unique")</f>
        <v/>
      </c>
      <c r="P1187" s="7">
        <f>IF(COUNTIF($J$2:$J$1201,J1187)&gt;1,"DUPLICATE","Unique")</f>
        <v/>
      </c>
      <c r="Q1187" s="4">
        <f>IF(TRIM(Raw_Data!L1187)="","Yes","No")</f>
        <v/>
      </c>
      <c r="R1187" s="4">
        <f>IF(ISNUMBER(B1187),"Valid","INVALID")</f>
        <v/>
      </c>
    </row>
    <row r="1188">
      <c r="A1188" s="4">
        <f>TRIM(Raw_Data!A1188)</f>
        <v/>
      </c>
      <c r="B1188" s="5">
        <f>Raw_Data!B1188</f>
        <v/>
      </c>
      <c r="C1188" s="4">
        <f>TRIM(Raw_Data!C1188)</f>
        <v/>
      </c>
      <c r="D1188" s="4">
        <f>PROPER(TRIM(Raw_Data!D1188))</f>
        <v/>
      </c>
      <c r="E1188" s="4">
        <f>Raw_Data!E1188</f>
        <v/>
      </c>
      <c r="F1188" s="6">
        <f>ROUND(Raw_Data!F1188,2)</f>
        <v/>
      </c>
      <c r="G1188" s="4">
        <f>PROPER(TRIM(Raw_Data!G1188))</f>
        <v/>
      </c>
      <c r="H1188" s="4">
        <f>PROPER(TRIM(Raw_Data!H1188))</f>
        <v/>
      </c>
      <c r="I1188" s="4">
        <f>PROPER(TRIM(Raw_Data!I1188))</f>
        <v/>
      </c>
      <c r="J1188" s="4">
        <f>TRIM(Raw_Data!J1188)</f>
        <v/>
      </c>
      <c r="K1188" s="4">
        <f>Raw_Data!K1188</f>
        <v/>
      </c>
      <c r="L1188" s="4">
        <f>IF(TRIM(Raw_Data!L1188)="","No Coupon",TRIM(Raw_Data!L1188))</f>
        <v/>
      </c>
      <c r="M1188" s="4">
        <f>PROPER(TRIM(Raw_Data!M1188))</f>
        <v/>
      </c>
      <c r="N1188" s="6">
        <f>ROUND(Raw_Data!N1188,2)</f>
        <v/>
      </c>
      <c r="O1188" s="7">
        <f>IF(COUNTIF($A$2:$A$1201,A1188)&gt;1,"DUPLICATE","Unique")</f>
        <v/>
      </c>
      <c r="P1188" s="7">
        <f>IF(COUNTIF($J$2:$J$1201,J1188)&gt;1,"DUPLICATE","Unique")</f>
        <v/>
      </c>
      <c r="Q1188" s="4">
        <f>IF(TRIM(Raw_Data!L1188)="","Yes","No")</f>
        <v/>
      </c>
      <c r="R1188" s="4">
        <f>IF(ISNUMBER(B1188),"Valid","INVALID")</f>
        <v/>
      </c>
    </row>
    <row r="1189">
      <c r="A1189" s="4">
        <f>TRIM(Raw_Data!A1189)</f>
        <v/>
      </c>
      <c r="B1189" s="5">
        <f>Raw_Data!B1189</f>
        <v/>
      </c>
      <c r="C1189" s="4">
        <f>TRIM(Raw_Data!C1189)</f>
        <v/>
      </c>
      <c r="D1189" s="4">
        <f>PROPER(TRIM(Raw_Data!D1189))</f>
        <v/>
      </c>
      <c r="E1189" s="4">
        <f>Raw_Data!E1189</f>
        <v/>
      </c>
      <c r="F1189" s="6">
        <f>ROUND(Raw_Data!F1189,2)</f>
        <v/>
      </c>
      <c r="G1189" s="4">
        <f>PROPER(TRIM(Raw_Data!G1189))</f>
        <v/>
      </c>
      <c r="H1189" s="4">
        <f>PROPER(TRIM(Raw_Data!H1189))</f>
        <v/>
      </c>
      <c r="I1189" s="4">
        <f>PROPER(TRIM(Raw_Data!I1189))</f>
        <v/>
      </c>
      <c r="J1189" s="4">
        <f>TRIM(Raw_Data!J1189)</f>
        <v/>
      </c>
      <c r="K1189" s="4">
        <f>Raw_Data!K1189</f>
        <v/>
      </c>
      <c r="L1189" s="4">
        <f>IF(TRIM(Raw_Data!L1189)="","No Coupon",TRIM(Raw_Data!L1189))</f>
        <v/>
      </c>
      <c r="M1189" s="4">
        <f>PROPER(TRIM(Raw_Data!M1189))</f>
        <v/>
      </c>
      <c r="N1189" s="6">
        <f>ROUND(Raw_Data!N1189,2)</f>
        <v/>
      </c>
      <c r="O1189" s="7">
        <f>IF(COUNTIF($A$2:$A$1201,A1189)&gt;1,"DUPLICATE","Unique")</f>
        <v/>
      </c>
      <c r="P1189" s="7">
        <f>IF(COUNTIF($J$2:$J$1201,J1189)&gt;1,"DUPLICATE","Unique")</f>
        <v/>
      </c>
      <c r="Q1189" s="4">
        <f>IF(TRIM(Raw_Data!L1189)="","Yes","No")</f>
        <v/>
      </c>
      <c r="R1189" s="4">
        <f>IF(ISNUMBER(B1189),"Valid","INVALID")</f>
        <v/>
      </c>
    </row>
    <row r="1190">
      <c r="A1190" s="4">
        <f>TRIM(Raw_Data!A1190)</f>
        <v/>
      </c>
      <c r="B1190" s="5">
        <f>Raw_Data!B1190</f>
        <v/>
      </c>
      <c r="C1190" s="4">
        <f>TRIM(Raw_Data!C1190)</f>
        <v/>
      </c>
      <c r="D1190" s="4">
        <f>PROPER(TRIM(Raw_Data!D1190))</f>
        <v/>
      </c>
      <c r="E1190" s="4">
        <f>Raw_Data!E1190</f>
        <v/>
      </c>
      <c r="F1190" s="6">
        <f>ROUND(Raw_Data!F1190,2)</f>
        <v/>
      </c>
      <c r="G1190" s="4">
        <f>PROPER(TRIM(Raw_Data!G1190))</f>
        <v/>
      </c>
      <c r="H1190" s="4">
        <f>PROPER(TRIM(Raw_Data!H1190))</f>
        <v/>
      </c>
      <c r="I1190" s="4">
        <f>PROPER(TRIM(Raw_Data!I1190))</f>
        <v/>
      </c>
      <c r="J1190" s="4">
        <f>TRIM(Raw_Data!J1190)</f>
        <v/>
      </c>
      <c r="K1190" s="4">
        <f>Raw_Data!K1190</f>
        <v/>
      </c>
      <c r="L1190" s="4">
        <f>IF(TRIM(Raw_Data!L1190)="","No Coupon",TRIM(Raw_Data!L1190))</f>
        <v/>
      </c>
      <c r="M1190" s="4">
        <f>PROPER(TRIM(Raw_Data!M1190))</f>
        <v/>
      </c>
      <c r="N1190" s="6">
        <f>ROUND(Raw_Data!N1190,2)</f>
        <v/>
      </c>
      <c r="O1190" s="7">
        <f>IF(COUNTIF($A$2:$A$1201,A1190)&gt;1,"DUPLICATE","Unique")</f>
        <v/>
      </c>
      <c r="P1190" s="7">
        <f>IF(COUNTIF($J$2:$J$1201,J1190)&gt;1,"DUPLICATE","Unique")</f>
        <v/>
      </c>
      <c r="Q1190" s="4">
        <f>IF(TRIM(Raw_Data!L1190)="","Yes","No")</f>
        <v/>
      </c>
      <c r="R1190" s="4">
        <f>IF(ISNUMBER(B1190),"Valid","INVALID")</f>
        <v/>
      </c>
    </row>
    <row r="1191">
      <c r="A1191" s="4">
        <f>TRIM(Raw_Data!A1191)</f>
        <v/>
      </c>
      <c r="B1191" s="5">
        <f>Raw_Data!B1191</f>
        <v/>
      </c>
      <c r="C1191" s="4">
        <f>TRIM(Raw_Data!C1191)</f>
        <v/>
      </c>
      <c r="D1191" s="4">
        <f>PROPER(TRIM(Raw_Data!D1191))</f>
        <v/>
      </c>
      <c r="E1191" s="4">
        <f>Raw_Data!E1191</f>
        <v/>
      </c>
      <c r="F1191" s="6">
        <f>ROUND(Raw_Data!F1191,2)</f>
        <v/>
      </c>
      <c r="G1191" s="4">
        <f>PROPER(TRIM(Raw_Data!G1191))</f>
        <v/>
      </c>
      <c r="H1191" s="4">
        <f>PROPER(TRIM(Raw_Data!H1191))</f>
        <v/>
      </c>
      <c r="I1191" s="4">
        <f>PROPER(TRIM(Raw_Data!I1191))</f>
        <v/>
      </c>
      <c r="J1191" s="4">
        <f>TRIM(Raw_Data!J1191)</f>
        <v/>
      </c>
      <c r="K1191" s="4">
        <f>Raw_Data!K1191</f>
        <v/>
      </c>
      <c r="L1191" s="4">
        <f>IF(TRIM(Raw_Data!L1191)="","No Coupon",TRIM(Raw_Data!L1191))</f>
        <v/>
      </c>
      <c r="M1191" s="4">
        <f>PROPER(TRIM(Raw_Data!M1191))</f>
        <v/>
      </c>
      <c r="N1191" s="6">
        <f>ROUND(Raw_Data!N1191,2)</f>
        <v/>
      </c>
      <c r="O1191" s="7">
        <f>IF(COUNTIF($A$2:$A$1201,A1191)&gt;1,"DUPLICATE","Unique")</f>
        <v/>
      </c>
      <c r="P1191" s="7">
        <f>IF(COUNTIF($J$2:$J$1201,J1191)&gt;1,"DUPLICATE","Unique")</f>
        <v/>
      </c>
      <c r="Q1191" s="4">
        <f>IF(TRIM(Raw_Data!L1191)="","Yes","No")</f>
        <v/>
      </c>
      <c r="R1191" s="4">
        <f>IF(ISNUMBER(B1191),"Valid","INVALID")</f>
        <v/>
      </c>
    </row>
    <row r="1192">
      <c r="A1192" s="4">
        <f>TRIM(Raw_Data!A1192)</f>
        <v/>
      </c>
      <c r="B1192" s="5">
        <f>Raw_Data!B1192</f>
        <v/>
      </c>
      <c r="C1192" s="4">
        <f>TRIM(Raw_Data!C1192)</f>
        <v/>
      </c>
      <c r="D1192" s="4">
        <f>PROPER(TRIM(Raw_Data!D1192))</f>
        <v/>
      </c>
      <c r="E1192" s="4">
        <f>Raw_Data!E1192</f>
        <v/>
      </c>
      <c r="F1192" s="6">
        <f>ROUND(Raw_Data!F1192,2)</f>
        <v/>
      </c>
      <c r="G1192" s="4">
        <f>PROPER(TRIM(Raw_Data!G1192))</f>
        <v/>
      </c>
      <c r="H1192" s="4">
        <f>PROPER(TRIM(Raw_Data!H1192))</f>
        <v/>
      </c>
      <c r="I1192" s="4">
        <f>PROPER(TRIM(Raw_Data!I1192))</f>
        <v/>
      </c>
      <c r="J1192" s="4">
        <f>TRIM(Raw_Data!J1192)</f>
        <v/>
      </c>
      <c r="K1192" s="4">
        <f>Raw_Data!K1192</f>
        <v/>
      </c>
      <c r="L1192" s="4">
        <f>IF(TRIM(Raw_Data!L1192)="","No Coupon",TRIM(Raw_Data!L1192))</f>
        <v/>
      </c>
      <c r="M1192" s="4">
        <f>PROPER(TRIM(Raw_Data!M1192))</f>
        <v/>
      </c>
      <c r="N1192" s="6">
        <f>ROUND(Raw_Data!N1192,2)</f>
        <v/>
      </c>
      <c r="O1192" s="7">
        <f>IF(COUNTIF($A$2:$A$1201,A1192)&gt;1,"DUPLICATE","Unique")</f>
        <v/>
      </c>
      <c r="P1192" s="7">
        <f>IF(COUNTIF($J$2:$J$1201,J1192)&gt;1,"DUPLICATE","Unique")</f>
        <v/>
      </c>
      <c r="Q1192" s="4">
        <f>IF(TRIM(Raw_Data!L1192)="","Yes","No")</f>
        <v/>
      </c>
      <c r="R1192" s="4">
        <f>IF(ISNUMBER(B1192),"Valid","INVALID")</f>
        <v/>
      </c>
    </row>
    <row r="1193">
      <c r="A1193" s="4">
        <f>TRIM(Raw_Data!A1193)</f>
        <v/>
      </c>
      <c r="B1193" s="5">
        <f>Raw_Data!B1193</f>
        <v/>
      </c>
      <c r="C1193" s="4">
        <f>TRIM(Raw_Data!C1193)</f>
        <v/>
      </c>
      <c r="D1193" s="4">
        <f>PROPER(TRIM(Raw_Data!D1193))</f>
        <v/>
      </c>
      <c r="E1193" s="4">
        <f>Raw_Data!E1193</f>
        <v/>
      </c>
      <c r="F1193" s="6">
        <f>ROUND(Raw_Data!F1193,2)</f>
        <v/>
      </c>
      <c r="G1193" s="4">
        <f>PROPER(TRIM(Raw_Data!G1193))</f>
        <v/>
      </c>
      <c r="H1193" s="4">
        <f>PROPER(TRIM(Raw_Data!H1193))</f>
        <v/>
      </c>
      <c r="I1193" s="4">
        <f>PROPER(TRIM(Raw_Data!I1193))</f>
        <v/>
      </c>
      <c r="J1193" s="4">
        <f>TRIM(Raw_Data!J1193)</f>
        <v/>
      </c>
      <c r="K1193" s="4">
        <f>Raw_Data!K1193</f>
        <v/>
      </c>
      <c r="L1193" s="4">
        <f>IF(TRIM(Raw_Data!L1193)="","No Coupon",TRIM(Raw_Data!L1193))</f>
        <v/>
      </c>
      <c r="M1193" s="4">
        <f>PROPER(TRIM(Raw_Data!M1193))</f>
        <v/>
      </c>
      <c r="N1193" s="6">
        <f>ROUND(Raw_Data!N1193,2)</f>
        <v/>
      </c>
      <c r="O1193" s="7">
        <f>IF(COUNTIF($A$2:$A$1201,A1193)&gt;1,"DUPLICATE","Unique")</f>
        <v/>
      </c>
      <c r="P1193" s="7">
        <f>IF(COUNTIF($J$2:$J$1201,J1193)&gt;1,"DUPLICATE","Unique")</f>
        <v/>
      </c>
      <c r="Q1193" s="4">
        <f>IF(TRIM(Raw_Data!L1193)="","Yes","No")</f>
        <v/>
      </c>
      <c r="R1193" s="4">
        <f>IF(ISNUMBER(B1193),"Valid","INVALID")</f>
        <v/>
      </c>
    </row>
    <row r="1194">
      <c r="A1194" s="4">
        <f>TRIM(Raw_Data!A1194)</f>
        <v/>
      </c>
      <c r="B1194" s="5">
        <f>Raw_Data!B1194</f>
        <v/>
      </c>
      <c r="C1194" s="4">
        <f>TRIM(Raw_Data!C1194)</f>
        <v/>
      </c>
      <c r="D1194" s="4">
        <f>PROPER(TRIM(Raw_Data!D1194))</f>
        <v/>
      </c>
      <c r="E1194" s="4">
        <f>Raw_Data!E1194</f>
        <v/>
      </c>
      <c r="F1194" s="6">
        <f>ROUND(Raw_Data!F1194,2)</f>
        <v/>
      </c>
      <c r="G1194" s="4">
        <f>PROPER(TRIM(Raw_Data!G1194))</f>
        <v/>
      </c>
      <c r="H1194" s="4">
        <f>PROPER(TRIM(Raw_Data!H1194))</f>
        <v/>
      </c>
      <c r="I1194" s="4">
        <f>PROPER(TRIM(Raw_Data!I1194))</f>
        <v/>
      </c>
      <c r="J1194" s="4">
        <f>TRIM(Raw_Data!J1194)</f>
        <v/>
      </c>
      <c r="K1194" s="4">
        <f>Raw_Data!K1194</f>
        <v/>
      </c>
      <c r="L1194" s="4">
        <f>IF(TRIM(Raw_Data!L1194)="","No Coupon",TRIM(Raw_Data!L1194))</f>
        <v/>
      </c>
      <c r="M1194" s="4">
        <f>PROPER(TRIM(Raw_Data!M1194))</f>
        <v/>
      </c>
      <c r="N1194" s="6">
        <f>ROUND(Raw_Data!N1194,2)</f>
        <v/>
      </c>
      <c r="O1194" s="7">
        <f>IF(COUNTIF($A$2:$A$1201,A1194)&gt;1,"DUPLICATE","Unique")</f>
        <v/>
      </c>
      <c r="P1194" s="7">
        <f>IF(COUNTIF($J$2:$J$1201,J1194)&gt;1,"DUPLICATE","Unique")</f>
        <v/>
      </c>
      <c r="Q1194" s="4">
        <f>IF(TRIM(Raw_Data!L1194)="","Yes","No")</f>
        <v/>
      </c>
      <c r="R1194" s="4">
        <f>IF(ISNUMBER(B1194),"Valid","INVALID")</f>
        <v/>
      </c>
    </row>
    <row r="1195">
      <c r="A1195" s="4">
        <f>TRIM(Raw_Data!A1195)</f>
        <v/>
      </c>
      <c r="B1195" s="5">
        <f>Raw_Data!B1195</f>
        <v/>
      </c>
      <c r="C1195" s="4">
        <f>TRIM(Raw_Data!C1195)</f>
        <v/>
      </c>
      <c r="D1195" s="4">
        <f>PROPER(TRIM(Raw_Data!D1195))</f>
        <v/>
      </c>
      <c r="E1195" s="4">
        <f>Raw_Data!E1195</f>
        <v/>
      </c>
      <c r="F1195" s="6">
        <f>ROUND(Raw_Data!F1195,2)</f>
        <v/>
      </c>
      <c r="G1195" s="4">
        <f>PROPER(TRIM(Raw_Data!G1195))</f>
        <v/>
      </c>
      <c r="H1195" s="4">
        <f>PROPER(TRIM(Raw_Data!H1195))</f>
        <v/>
      </c>
      <c r="I1195" s="4">
        <f>PROPER(TRIM(Raw_Data!I1195))</f>
        <v/>
      </c>
      <c r="J1195" s="4">
        <f>TRIM(Raw_Data!J1195)</f>
        <v/>
      </c>
      <c r="K1195" s="4">
        <f>Raw_Data!K1195</f>
        <v/>
      </c>
      <c r="L1195" s="4">
        <f>IF(TRIM(Raw_Data!L1195)="","No Coupon",TRIM(Raw_Data!L1195))</f>
        <v/>
      </c>
      <c r="M1195" s="4">
        <f>PROPER(TRIM(Raw_Data!M1195))</f>
        <v/>
      </c>
      <c r="N1195" s="6">
        <f>ROUND(Raw_Data!N1195,2)</f>
        <v/>
      </c>
      <c r="O1195" s="7">
        <f>IF(COUNTIF($A$2:$A$1201,A1195)&gt;1,"DUPLICATE","Unique")</f>
        <v/>
      </c>
      <c r="P1195" s="7">
        <f>IF(COUNTIF($J$2:$J$1201,J1195)&gt;1,"DUPLICATE","Unique")</f>
        <v/>
      </c>
      <c r="Q1195" s="4">
        <f>IF(TRIM(Raw_Data!L1195)="","Yes","No")</f>
        <v/>
      </c>
      <c r="R1195" s="4">
        <f>IF(ISNUMBER(B1195),"Valid","INVALID")</f>
        <v/>
      </c>
    </row>
    <row r="1196">
      <c r="A1196" s="4">
        <f>TRIM(Raw_Data!A1196)</f>
        <v/>
      </c>
      <c r="B1196" s="5">
        <f>Raw_Data!B1196</f>
        <v/>
      </c>
      <c r="C1196" s="4">
        <f>TRIM(Raw_Data!C1196)</f>
        <v/>
      </c>
      <c r="D1196" s="4">
        <f>PROPER(TRIM(Raw_Data!D1196))</f>
        <v/>
      </c>
      <c r="E1196" s="4">
        <f>Raw_Data!E1196</f>
        <v/>
      </c>
      <c r="F1196" s="6">
        <f>ROUND(Raw_Data!F1196,2)</f>
        <v/>
      </c>
      <c r="G1196" s="4">
        <f>PROPER(TRIM(Raw_Data!G1196))</f>
        <v/>
      </c>
      <c r="H1196" s="4">
        <f>PROPER(TRIM(Raw_Data!H1196))</f>
        <v/>
      </c>
      <c r="I1196" s="4">
        <f>PROPER(TRIM(Raw_Data!I1196))</f>
        <v/>
      </c>
      <c r="J1196" s="4">
        <f>TRIM(Raw_Data!J1196)</f>
        <v/>
      </c>
      <c r="K1196" s="4">
        <f>Raw_Data!K1196</f>
        <v/>
      </c>
      <c r="L1196" s="4">
        <f>IF(TRIM(Raw_Data!L1196)="","No Coupon",TRIM(Raw_Data!L1196))</f>
        <v/>
      </c>
      <c r="M1196" s="4">
        <f>PROPER(TRIM(Raw_Data!M1196))</f>
        <v/>
      </c>
      <c r="N1196" s="6">
        <f>ROUND(Raw_Data!N1196,2)</f>
        <v/>
      </c>
      <c r="O1196" s="7">
        <f>IF(COUNTIF($A$2:$A$1201,A1196)&gt;1,"DUPLICATE","Unique")</f>
        <v/>
      </c>
      <c r="P1196" s="7">
        <f>IF(COUNTIF($J$2:$J$1201,J1196)&gt;1,"DUPLICATE","Unique")</f>
        <v/>
      </c>
      <c r="Q1196" s="4">
        <f>IF(TRIM(Raw_Data!L1196)="","Yes","No")</f>
        <v/>
      </c>
      <c r="R1196" s="4">
        <f>IF(ISNUMBER(B1196),"Valid","INVALID")</f>
        <v/>
      </c>
    </row>
    <row r="1197">
      <c r="A1197" s="4">
        <f>TRIM(Raw_Data!A1197)</f>
        <v/>
      </c>
      <c r="B1197" s="5">
        <f>Raw_Data!B1197</f>
        <v/>
      </c>
      <c r="C1197" s="4">
        <f>TRIM(Raw_Data!C1197)</f>
        <v/>
      </c>
      <c r="D1197" s="4">
        <f>PROPER(TRIM(Raw_Data!D1197))</f>
        <v/>
      </c>
      <c r="E1197" s="4">
        <f>Raw_Data!E1197</f>
        <v/>
      </c>
      <c r="F1197" s="6">
        <f>ROUND(Raw_Data!F1197,2)</f>
        <v/>
      </c>
      <c r="G1197" s="4">
        <f>PROPER(TRIM(Raw_Data!G1197))</f>
        <v/>
      </c>
      <c r="H1197" s="4">
        <f>PROPER(TRIM(Raw_Data!H1197))</f>
        <v/>
      </c>
      <c r="I1197" s="4">
        <f>PROPER(TRIM(Raw_Data!I1197))</f>
        <v/>
      </c>
      <c r="J1197" s="4">
        <f>TRIM(Raw_Data!J1197)</f>
        <v/>
      </c>
      <c r="K1197" s="4">
        <f>Raw_Data!K1197</f>
        <v/>
      </c>
      <c r="L1197" s="4">
        <f>IF(TRIM(Raw_Data!L1197)="","No Coupon",TRIM(Raw_Data!L1197))</f>
        <v/>
      </c>
      <c r="M1197" s="4">
        <f>PROPER(TRIM(Raw_Data!M1197))</f>
        <v/>
      </c>
      <c r="N1197" s="6">
        <f>ROUND(Raw_Data!N1197,2)</f>
        <v/>
      </c>
      <c r="O1197" s="7">
        <f>IF(COUNTIF($A$2:$A$1201,A1197)&gt;1,"DUPLICATE","Unique")</f>
        <v/>
      </c>
      <c r="P1197" s="7">
        <f>IF(COUNTIF($J$2:$J$1201,J1197)&gt;1,"DUPLICATE","Unique")</f>
        <v/>
      </c>
      <c r="Q1197" s="4">
        <f>IF(TRIM(Raw_Data!L1197)="","Yes","No")</f>
        <v/>
      </c>
      <c r="R1197" s="4">
        <f>IF(ISNUMBER(B1197),"Valid","INVALID")</f>
        <v/>
      </c>
    </row>
    <row r="1198">
      <c r="A1198" s="4">
        <f>TRIM(Raw_Data!A1198)</f>
        <v/>
      </c>
      <c r="B1198" s="5">
        <f>Raw_Data!B1198</f>
        <v/>
      </c>
      <c r="C1198" s="4">
        <f>TRIM(Raw_Data!C1198)</f>
        <v/>
      </c>
      <c r="D1198" s="4">
        <f>PROPER(TRIM(Raw_Data!D1198))</f>
        <v/>
      </c>
      <c r="E1198" s="4">
        <f>Raw_Data!E1198</f>
        <v/>
      </c>
      <c r="F1198" s="6">
        <f>ROUND(Raw_Data!F1198,2)</f>
        <v/>
      </c>
      <c r="G1198" s="4">
        <f>PROPER(TRIM(Raw_Data!G1198))</f>
        <v/>
      </c>
      <c r="H1198" s="4">
        <f>PROPER(TRIM(Raw_Data!H1198))</f>
        <v/>
      </c>
      <c r="I1198" s="4">
        <f>PROPER(TRIM(Raw_Data!I1198))</f>
        <v/>
      </c>
      <c r="J1198" s="4">
        <f>TRIM(Raw_Data!J1198)</f>
        <v/>
      </c>
      <c r="K1198" s="4">
        <f>Raw_Data!K1198</f>
        <v/>
      </c>
      <c r="L1198" s="4">
        <f>IF(TRIM(Raw_Data!L1198)="","No Coupon",TRIM(Raw_Data!L1198))</f>
        <v/>
      </c>
      <c r="M1198" s="4">
        <f>PROPER(TRIM(Raw_Data!M1198))</f>
        <v/>
      </c>
      <c r="N1198" s="6">
        <f>ROUND(Raw_Data!N1198,2)</f>
        <v/>
      </c>
      <c r="O1198" s="7">
        <f>IF(COUNTIF($A$2:$A$1201,A1198)&gt;1,"DUPLICATE","Unique")</f>
        <v/>
      </c>
      <c r="P1198" s="7">
        <f>IF(COUNTIF($J$2:$J$1201,J1198)&gt;1,"DUPLICATE","Unique")</f>
        <v/>
      </c>
      <c r="Q1198" s="4">
        <f>IF(TRIM(Raw_Data!L1198)="","Yes","No")</f>
        <v/>
      </c>
      <c r="R1198" s="4">
        <f>IF(ISNUMBER(B1198),"Valid","INVALID")</f>
        <v/>
      </c>
    </row>
    <row r="1199">
      <c r="A1199" s="4">
        <f>TRIM(Raw_Data!A1199)</f>
        <v/>
      </c>
      <c r="B1199" s="5">
        <f>Raw_Data!B1199</f>
        <v/>
      </c>
      <c r="C1199" s="4">
        <f>TRIM(Raw_Data!C1199)</f>
        <v/>
      </c>
      <c r="D1199" s="4">
        <f>PROPER(TRIM(Raw_Data!D1199))</f>
        <v/>
      </c>
      <c r="E1199" s="4">
        <f>Raw_Data!E1199</f>
        <v/>
      </c>
      <c r="F1199" s="6">
        <f>ROUND(Raw_Data!F1199,2)</f>
        <v/>
      </c>
      <c r="G1199" s="4">
        <f>PROPER(TRIM(Raw_Data!G1199))</f>
        <v/>
      </c>
      <c r="H1199" s="4">
        <f>PROPER(TRIM(Raw_Data!H1199))</f>
        <v/>
      </c>
      <c r="I1199" s="4">
        <f>PROPER(TRIM(Raw_Data!I1199))</f>
        <v/>
      </c>
      <c r="J1199" s="4">
        <f>TRIM(Raw_Data!J1199)</f>
        <v/>
      </c>
      <c r="K1199" s="4">
        <f>Raw_Data!K1199</f>
        <v/>
      </c>
      <c r="L1199" s="4">
        <f>IF(TRIM(Raw_Data!L1199)="","No Coupon",TRIM(Raw_Data!L1199))</f>
        <v/>
      </c>
      <c r="M1199" s="4">
        <f>PROPER(TRIM(Raw_Data!M1199))</f>
        <v/>
      </c>
      <c r="N1199" s="6">
        <f>ROUND(Raw_Data!N1199,2)</f>
        <v/>
      </c>
      <c r="O1199" s="7">
        <f>IF(COUNTIF($A$2:$A$1201,A1199)&gt;1,"DUPLICATE","Unique")</f>
        <v/>
      </c>
      <c r="P1199" s="7">
        <f>IF(COUNTIF($J$2:$J$1201,J1199)&gt;1,"DUPLICATE","Unique")</f>
        <v/>
      </c>
      <c r="Q1199" s="4">
        <f>IF(TRIM(Raw_Data!L1199)="","Yes","No")</f>
        <v/>
      </c>
      <c r="R1199" s="4">
        <f>IF(ISNUMBER(B1199),"Valid","INVALID")</f>
        <v/>
      </c>
    </row>
    <row r="1200">
      <c r="A1200" s="4">
        <f>TRIM(Raw_Data!A1200)</f>
        <v/>
      </c>
      <c r="B1200" s="5">
        <f>Raw_Data!B1200</f>
        <v/>
      </c>
      <c r="C1200" s="4">
        <f>TRIM(Raw_Data!C1200)</f>
        <v/>
      </c>
      <c r="D1200" s="4">
        <f>PROPER(TRIM(Raw_Data!D1200))</f>
        <v/>
      </c>
      <c r="E1200" s="4">
        <f>Raw_Data!E1200</f>
        <v/>
      </c>
      <c r="F1200" s="6">
        <f>ROUND(Raw_Data!F1200,2)</f>
        <v/>
      </c>
      <c r="G1200" s="4">
        <f>PROPER(TRIM(Raw_Data!G1200))</f>
        <v/>
      </c>
      <c r="H1200" s="4">
        <f>PROPER(TRIM(Raw_Data!H1200))</f>
        <v/>
      </c>
      <c r="I1200" s="4">
        <f>PROPER(TRIM(Raw_Data!I1200))</f>
        <v/>
      </c>
      <c r="J1200" s="4">
        <f>TRIM(Raw_Data!J1200)</f>
        <v/>
      </c>
      <c r="K1200" s="4">
        <f>Raw_Data!K1200</f>
        <v/>
      </c>
      <c r="L1200" s="4">
        <f>IF(TRIM(Raw_Data!L1200)="","No Coupon",TRIM(Raw_Data!L1200))</f>
        <v/>
      </c>
      <c r="M1200" s="4">
        <f>PROPER(TRIM(Raw_Data!M1200))</f>
        <v/>
      </c>
      <c r="N1200" s="6">
        <f>ROUND(Raw_Data!N1200,2)</f>
        <v/>
      </c>
      <c r="O1200" s="7">
        <f>IF(COUNTIF($A$2:$A$1201,A1200)&gt;1,"DUPLICATE","Unique")</f>
        <v/>
      </c>
      <c r="P1200" s="7">
        <f>IF(COUNTIF($J$2:$J$1201,J1200)&gt;1,"DUPLICATE","Unique")</f>
        <v/>
      </c>
      <c r="Q1200" s="4">
        <f>IF(TRIM(Raw_Data!L1200)="","Yes","No")</f>
        <v/>
      </c>
      <c r="R1200" s="4">
        <f>IF(ISNUMBER(B1200),"Valid","INVALID")</f>
        <v/>
      </c>
    </row>
    <row r="1201">
      <c r="A1201" s="4">
        <f>TRIM(Raw_Data!A1201)</f>
        <v/>
      </c>
      <c r="B1201" s="5">
        <f>Raw_Data!B1201</f>
        <v/>
      </c>
      <c r="C1201" s="4">
        <f>TRIM(Raw_Data!C1201)</f>
        <v/>
      </c>
      <c r="D1201" s="4">
        <f>PROPER(TRIM(Raw_Data!D1201))</f>
        <v/>
      </c>
      <c r="E1201" s="4">
        <f>Raw_Data!E1201</f>
        <v/>
      </c>
      <c r="F1201" s="6">
        <f>ROUND(Raw_Data!F1201,2)</f>
        <v/>
      </c>
      <c r="G1201" s="4">
        <f>PROPER(TRIM(Raw_Data!G1201))</f>
        <v/>
      </c>
      <c r="H1201" s="4">
        <f>PROPER(TRIM(Raw_Data!H1201))</f>
        <v/>
      </c>
      <c r="I1201" s="4">
        <f>PROPER(TRIM(Raw_Data!I1201))</f>
        <v/>
      </c>
      <c r="J1201" s="4">
        <f>TRIM(Raw_Data!J1201)</f>
        <v/>
      </c>
      <c r="K1201" s="4">
        <f>Raw_Data!K1201</f>
        <v/>
      </c>
      <c r="L1201" s="4">
        <f>IF(TRIM(Raw_Data!L1201)="","No Coupon",TRIM(Raw_Data!L1201))</f>
        <v/>
      </c>
      <c r="M1201" s="4">
        <f>PROPER(TRIM(Raw_Data!M1201))</f>
        <v/>
      </c>
      <c r="N1201" s="6">
        <f>ROUND(Raw_Data!N1201,2)</f>
        <v/>
      </c>
      <c r="O1201" s="7">
        <f>IF(COUNTIF($A$2:$A$1201,A1201)&gt;1,"DUPLICATE","Unique")</f>
        <v/>
      </c>
      <c r="P1201" s="7">
        <f>IF(COUNTIF($J$2:$J$1201,J1201)&gt;1,"DUPLICATE","Unique")</f>
        <v/>
      </c>
      <c r="Q1201" s="4">
        <f>IF(TRIM(Raw_Data!L1201)="","Yes","No")</f>
        <v/>
      </c>
      <c r="R1201" s="4">
        <f>IF(ISNUMBER(B1201),"Valid","INVALID")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Pass Threshold</t>
        </is>
      </c>
    </row>
    <row r="2">
      <c r="A2" s="8" t="inlineStr">
        <is>
          <t>Duplicate OrderID count</t>
        </is>
      </c>
      <c r="B2" s="8">
        <f>SUMPRODUCT((COUNTIF(Cleaned_Data!A2:A1201,Cleaned_Data!A2:A1201)&gt;1)*1)</f>
        <v/>
      </c>
      <c r="C2" s="8" t="n">
        <v>0</v>
      </c>
    </row>
    <row r="3">
      <c r="A3" s="8" t="inlineStr">
        <is>
          <t>Duplicate TrackingNumber count</t>
        </is>
      </c>
      <c r="B3" s="8">
        <f>SUMPRODUCT((COUNTIF(Cleaned_Data!J2:J1201,Cleaned_Data!J2:J1201)&gt;1)*1)</f>
        <v/>
      </c>
      <c r="C3" s="8" t="n">
        <v>0</v>
      </c>
    </row>
    <row r="4">
      <c r="A4" s="8" t="inlineStr">
        <is>
          <t>Invalid / non-date Date cells</t>
        </is>
      </c>
      <c r="B4" s="8">
        <f>SUMPRODUCT(--NOT(ISNUMBER(Cleaned_Data!B2:B1201)))</f>
        <v/>
      </c>
      <c r="C4" s="8" t="n">
        <v>0</v>
      </c>
    </row>
    <row r="5">
      <c r="A5" s="8" t="inlineStr">
        <is>
          <t>Remaining blank CouponCode cells (post-fix)</t>
        </is>
      </c>
      <c r="B5" s="8">
        <f>COUNTBLANK(Cleaned_Data!L2:L1201)</f>
        <v/>
      </c>
      <c r="C5" s="8" t="n">
        <v>0</v>
      </c>
    </row>
    <row r="6">
      <c r="A6" s="8" t="inlineStr">
        <is>
          <t>VERDICT</t>
        </is>
      </c>
      <c r="B6" s="8">
        <f>IF(SUM(B2:B5)=0,"PASS - 0% Error Rate","FAIL - Review Required")</f>
        <v/>
      </c>
      <c r="C6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45" customWidth="1" min="3" max="3"/>
    <col width="12" customWidth="1" min="4" max="4"/>
  </cols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s="8" t="inlineStr">
        <is>
          <t>CR001</t>
        </is>
      </c>
      <c r="B2" s="8" t="inlineStr">
        <is>
          <t>Filled missing CouponCode values with explicit label 'No Coupon' (not mean/mode, since absence is meaningful, not random)</t>
        </is>
      </c>
      <c r="C2" s="8">
        <f>COUNTBLANK(Raw_Data!L2:L1201)&amp;" of "&amp;1200&amp;" records ("&amp;TEXT(COUNTBLANK(Raw_Data!L2:L1201)/1200,"0.0%")&amp;")"</f>
        <v/>
      </c>
      <c r="D2" s="8" t="inlineStr">
        <is>
          <t>Resolved</t>
        </is>
      </c>
    </row>
    <row r="3">
      <c r="A3" s="8" t="inlineStr">
        <is>
          <t>CR002</t>
        </is>
      </c>
      <c r="B3" s="8" t="inlineStr">
        <is>
          <t>Audited OrderID and TrackingNumber for duplicates via COUNTIF (Excel equivalent of GROUP BY ... HAVING COUNT(*) &gt; 1)</t>
        </is>
      </c>
      <c r="C3" s="8">
        <f>"Duplicate OrderIDs: "&amp;Verification_Gate!B2&amp;" | Duplicate TrackingNumbers: "&amp;Verification_Gate!B3</f>
        <v/>
      </c>
      <c r="D3" s="8" t="inlineStr">
        <is>
          <t>Resolved</t>
        </is>
      </c>
    </row>
    <row r="4">
      <c r="A4" s="8" t="inlineStr">
        <is>
          <t>CR003</t>
        </is>
      </c>
      <c r="B4" s="8" t="inlineStr">
        <is>
          <t>Trimmed whitespace and Proper-cased free-text fields (Product, PaymentMethod, OrderStatus, ShippingAddress, ReferralSource); ID/code columns left case-untouched</t>
        </is>
      </c>
      <c r="C4" s="8">
        <f>"Applied across "&amp;1200&amp;" records on 5 columns"</f>
        <v/>
      </c>
      <c r="D4" s="8" t="inlineStr">
        <is>
          <t>Resolved</t>
        </is>
      </c>
    </row>
    <row r="5">
      <c r="A5" s="8" t="inlineStr">
        <is>
          <t>CR004</t>
        </is>
      </c>
      <c r="B5" s="8" t="inlineStr">
        <is>
          <t>Applied ROUND(...,2) and a fixed 0.00 number format to UnitPrice/TotalPrice so every value displays exactly 2 decimal places (raw export had 0, 1, or 2 decimals inconsistently)</t>
        </is>
      </c>
      <c r="C5" s="8">
        <f>1200&amp;" UnitPrice and "&amp;1200&amp;" TotalPrice cells standardized to 2-decimal precision"</f>
        <v/>
      </c>
      <c r="D5" s="8" t="inlineStr">
        <is>
          <t>Resolved</t>
        </is>
      </c>
    </row>
    <row r="6">
      <c r="A6" s="8" t="inlineStr">
        <is>
          <t>CR005</t>
        </is>
      </c>
      <c r="B6" s="8" t="inlineStr">
        <is>
          <t>Validated Date column as true Excel date type and applied ISO 8601 (yyyy-mm-dd) display format</t>
        </is>
      </c>
      <c r="C6" s="8">
        <f>"Invalid dates found: "&amp;Verification_Gate!B4</f>
        <v/>
      </c>
      <c r="D6" s="8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2026-06-19T10:01:26Z</dcterms:created>
  <dcterms:modified xmlns:dcterms="http://purl.org/dc/terms/" xmlns:xsi="http://www.w3.org/2001/XMLSchema-instance" xsi:type="dcterms:W3CDTF">2026-06-19T10:01:26Z</dcterms:modified>
</cp:coreProperties>
</file>